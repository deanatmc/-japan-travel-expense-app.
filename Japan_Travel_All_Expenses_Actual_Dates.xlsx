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e4c94cbca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匯入資料" sheetId="1" r:id="Rb2bc7112a6bb48a0"/>
    <x:sheet xmlns:r="http://schemas.openxmlformats.org/officeDocument/2006/relationships" name="待確認逐項明細" sheetId="2" r:id="R2aefeabe37e54613"/>
    <x:sheet xmlns:r="http://schemas.openxmlformats.org/officeDocument/2006/relationships" name="摘要" sheetId="3" r:id="Rd7468e1c90d247e1"/>
    <x:sheet xmlns:r="http://schemas.openxmlformats.org/officeDocument/2006/relationships" name="清除 Supabase SQL" sheetId="4" r:id="Rac1903bec4fa470c"/>
    <x:sheet xmlns:r="http://schemas.openxmlformats.org/officeDocument/2006/relationships" name="說明" sheetId="5" r:id="R804c708c1521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##"/>
    <x:numFmt numFmtId="202" formatCode="#,##0"/>
    <x:numFmt numFmtId="203" formatCode="¥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4057C8"/>
      </x:patternFill>
    </x:fill>
    <x:fill>
      <x:patternFill patternType="solid">
        <x:fgColor rgb="FFF09A52"/>
      </x:patternFill>
    </x:fill>
    <x:fill>
      <x:patternFill patternType="solid">
        <x:fgColor rgb="FF1D275A"/>
      </x:patternFill>
    </x:fill>
    <x:fill>
      <x:patternFill patternType="solid">
        <x:fgColor rgb="FF2CA8A1"/>
      </x:patternFill>
    </x:fill>
    <x:fill>
      <x:patternFill patternType="solid">
        <x:fgColor rgb="FFCF3F50"/>
      </x:patternFill>
    </x:fill>
    <x:fill>
      <x:patternFill patternType="solid">
        <x:fgColor rgb="FF667085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d9593ac894484" /><Relationship Type="http://schemas.openxmlformats.org/officeDocument/2006/relationships/theme" Target="/xl/theme/theme1.xml" Id="R877efd747d974ede" /><Relationship Type="http://schemas.openxmlformats.org/officeDocument/2006/relationships/sharedStrings" Target="/xl/sharedStrings.xml" Id="R44ab901bd2ab48db" /><Relationship Type="http://schemas.openxmlformats.org/officeDocument/2006/relationships/worksheet" Target="/xl/worksheets/sheet1.xml" Id="Rb2bc7112a6bb48a0" /><Relationship Type="http://schemas.openxmlformats.org/officeDocument/2006/relationships/worksheet" Target="/xl/worksheets/sheet2.xml" Id="R2aefeabe37e54613" /><Relationship Type="http://schemas.openxmlformats.org/officeDocument/2006/relationships/worksheet" Target="/xl/worksheets/sheet3.xml" Id="Rd7468e1c90d247e1" /><Relationship Type="http://schemas.openxmlformats.org/officeDocument/2006/relationships/worksheet" Target="/xl/worksheets/sheet4.xml" Id="Rac1903bec4fa470c" /><Relationship Type="http://schemas.openxmlformats.org/officeDocument/2006/relationships/worksheet" Target="/xl/worksheets/sheet5.xml" Id="R804c708c152141b1" /></Relationships>
</file>

<file path=xl/tables/table1.xml><?xml version="1.0" encoding="utf-8"?>
<x:table xmlns:x="http://schemas.openxmlformats.org/spreadsheetml/2006/main" id="1" name="AllTravelExpensesTable" displayName="AllTravelExpensesTable" ref="A1:K114" headerRowCount="1">
  <x:tableColumns count="11">
    <x:tableColumn id="1" name="日期"/>
    <x:tableColumn id="2" name="Day"/>
    <x:tableColumn id="3" name="店家"/>
    <x:tableColumn id="4" name="類別"/>
    <x:tableColumn id="5" name="商品名稱"/>
    <x:tableColumn id="6" name="數量"/>
    <x:tableColumn id="7" name="日幣"/>
    <x:tableColumn id="8" name="台幣"/>
    <x:tableColumn id="9" name="付款方式"/>
    <x:tableColumn id="10" name="備註"/>
    <x:tableColumn id="11" name="建立時間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9e309b5cdb4c2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1" hidden="0" customWidth="1"/>
    <x:col min="4" max="4" width="18" hidden="0" customWidth="1"/>
    <x:col min="5" max="5" width="40" hidden="0" customWidth="1"/>
    <x:col min="6" max="6" width="9" hidden="0" customWidth="1"/>
    <x:col min="7" max="7" width="12" hidden="0" customWidth="1"/>
    <x:col min="8" max="8" width="12" hidden="0" customWidth="1"/>
    <x:col min="9" max="9" width="23" hidden="0" customWidth="1"/>
    <x:col min="10" max="10" width="48" hidden="0" customWidth="1"/>
    <x:col min="11" max="11" width="21" hidden="0" customWidth="1"/>
  </x:cols>
  <x:sheetData>
    <x:row r="1" ht="28" customHeight="1">
      <x:c r="A1" s="5" t="str">
        <x:v>日期</x:v>
      </x:c>
      <x:c r="B1" s="5" t="str">
        <x:v>Day</x:v>
      </x:c>
      <x:c r="C1" s="5" t="str">
        <x:v>店家</x:v>
      </x:c>
      <x:c r="D1" s="5" t="str">
        <x:v>類別</x:v>
      </x:c>
      <x:c r="E1" s="5" t="str">
        <x:v>商品名稱</x:v>
      </x:c>
      <x:c r="F1" s="5" t="str">
        <x:v>數量</x:v>
      </x:c>
      <x:c r="G1" s="5" t="str">
        <x:v>日幣</x:v>
      </x:c>
      <x:c r="H1" s="5" t="str">
        <x:v>台幣</x:v>
      </x:c>
      <x:c r="I1" s="5" t="str">
        <x:v>付款方式</x:v>
      </x:c>
      <x:c r="J1" s="5" t="str">
        <x:v>備註</x:v>
      </x:c>
      <x:c r="K1" s="5" t="str">
        <x:v>建立時間</x:v>
      </x:c>
    </x:row>
    <x:row r="2">
      <x:c r="A2" s="12" t="str">
        <x:v>2026-07-05</x:v>
      </x:c>
      <x:c r="B2" s="12" t="str">
        <x:v>2026-07-05</x:v>
      </x:c>
      <x:c r="C2" s="10" t="str">
        <x:v>FamilyMart 關西空港站</x:v>
      </x:c>
      <x:c r="D2" s="10" t="str">
        <x:v>超商/餐飲</x:v>
      </x:c>
      <x:c r="E2" s="10" t="str">
        <x:v>可可椰子白桃飲料</x:v>
      </x:c>
      <x:c r="F2" s="14" t="n">
        <x:v>1</x:v>
      </x:c>
      <x:c r="G2" s="16" t="n">
        <x:v>298</x:v>
      </x:c>
      <x:c r="H2" s="16" t="n">
        <x:v>63</x:v>
      </x:c>
      <x:c r="I2" s="10" t="str">
        <x:v>Suica</x:v>
      </x:c>
      <x:c r="J2" s="10"/>
      <x:c r="K2" s="12" t="str"/>
    </x:row>
    <x:row r="3">
      <x:c r="A3" s="12" t="str">
        <x:v>2026-07-05</x:v>
      </x:c>
      <x:c r="B3" s="12" t="str">
        <x:v>2026-07-05</x:v>
      </x:c>
      <x:c r="C3" s="10" t="str">
        <x:v>FamilyMart 關西空港站</x:v>
      </x:c>
      <x:c r="D3" s="10" t="str">
        <x:v>超商/餐飲</x:v>
      </x:c>
      <x:c r="E3" s="10" t="str">
        <x:v>哈密瓜牛奶</x:v>
      </x:c>
      <x:c r="F3" s="14" t="n">
        <x:v>1</x:v>
      </x:c>
      <x:c r="G3" s="16" t="n">
        <x:v>290</x:v>
      </x:c>
      <x:c r="H3" s="16" t="n">
        <x:v>61</x:v>
      </x:c>
      <x:c r="I3" s="10" t="str">
        <x:v>Suica</x:v>
      </x:c>
      <x:c r="J3" s="10"/>
      <x:c r="K3" s="12" t="str"/>
    </x:row>
    <x:row r="4">
      <x:c r="A4" s="12" t="str">
        <x:v>2026-07-05</x:v>
      </x:c>
      <x:c r="B4" s="12" t="str">
        <x:v>2026-07-05</x:v>
      </x:c>
      <x:c r="C4" s="10" t="str">
        <x:v>FamilyMart 關西空港站</x:v>
      </x:c>
      <x:c r="D4" s="10" t="str">
        <x:v>超商/餐飲</x:v>
      </x:c>
      <x:c r="E4" s="10" t="str">
        <x:v>北海道哈密瓜麵包</x:v>
      </x:c>
      <x:c r="F4" s="14" t="n">
        <x:v>2</x:v>
      </x:c>
      <x:c r="G4" s="16" t="n">
        <x:v>276</x:v>
      </x:c>
      <x:c r="H4" s="16" t="n">
        <x:v>58</x:v>
      </x:c>
      <x:c r="I4" s="10" t="str">
        <x:v>Suica</x:v>
      </x:c>
      <x:c r="J4" s="10"/>
      <x:c r="K4" s="12" t="str"/>
    </x:row>
    <x:row r="5">
      <x:c r="A5" s="12" t="str">
        <x:v>2026-07-05</x:v>
      </x:c>
      <x:c r="B5" s="12" t="str">
        <x:v>2026-07-05</x:v>
      </x:c>
      <x:c r="C5" s="10" t="str">
        <x:v>FamilyMart 關西空港站</x:v>
      </x:c>
      <x:c r="D5" s="10" t="str">
        <x:v>超商/餐飲</x:v>
      </x:c>
      <x:c r="E5" s="10" t="str">
        <x:v>紅豆丹麥麵包</x:v>
      </x:c>
      <x:c r="F5" s="14" t="n">
        <x:v>2</x:v>
      </x:c>
      <x:c r="G5" s="16" t="n">
        <x:v>256</x:v>
      </x:c>
      <x:c r="H5" s="16" t="n">
        <x:v>54</x:v>
      </x:c>
      <x:c r="I5" s="10" t="str">
        <x:v>Suica</x:v>
      </x:c>
      <x:c r="J5" s="10"/>
      <x:c r="K5" s="12" t="str"/>
    </x:row>
    <x:row r="6">
      <x:c r="A6" s="12" t="str">
        <x:v>2026-07-05</x:v>
      </x:c>
      <x:c r="B6" s="12" t="str">
        <x:v>2026-07-05</x:v>
      </x:c>
      <x:c r="C6" s="10" t="str">
        <x:v>ICOCA/Suica 儲值</x:v>
      </x:c>
      <x:c r="D6" s="10" t="str">
        <x:v>交通儲值</x:v>
      </x:c>
      <x:c r="E6" s="10" t="str">
        <x:v>IC卡儲值</x:v>
      </x:c>
      <x:c r="F6" s="14" t="n">
        <x:v>1</x:v>
      </x:c>
      <x:c r="G6" s="16" t="n">
        <x:v>10000</x:v>
      </x:c>
      <x:c r="H6" s="16" t="n">
        <x:v>2100</x:v>
      </x:c>
      <x:c r="I6" s="10" t="str">
        <x:v>現金</x:v>
      </x:c>
      <x:c r="J6" s="10" t="str">
        <x:v>儲值，不列入實際消費</x:v>
      </x:c>
      <x:c r="K6" s="12" t="str"/>
    </x:row>
    <x:row r="7">
      <x:c r="A7" s="12" t="str">
        <x:v>2026-07-06</x:v>
      </x:c>
      <x:c r="B7" s="12" t="str">
        <x:v>2026-07-06</x:v>
      </x:c>
      <x:c r="C7" s="10" t="str">
        <x:v>LAWSON 祇園花見小路店</x:v>
      </x:c>
      <x:c r="D7" s="10" t="str">
        <x:v>超商/餐飲</x:v>
      </x:c>
      <x:c r="E7" s="10" t="str">
        <x:v>三色糰子（半價）</x:v>
      </x:c>
      <x:c r="F7" s="14" t="n">
        <x:v>1</x:v>
      </x:c>
      <x:c r="G7" s="16" t="n">
        <x:v>63</x:v>
      </x:c>
      <x:c r="H7" s="16" t="n">
        <x:v>13</x:v>
      </x:c>
      <x:c r="I7" s="10" t="str">
        <x:v>Suica</x:v>
      </x:c>
      <x:c r="J7" s="10"/>
      <x:c r="K7" s="12" t="str"/>
    </x:row>
    <x:row r="8">
      <x:c r="A8" s="12" t="str">
        <x:v>2026-07-06</x:v>
      </x:c>
      <x:c r="B8" s="12" t="str">
        <x:v>2026-07-06</x:v>
      </x:c>
      <x:c r="C8" s="10" t="str">
        <x:v>LAWSON 祇園花見小路店</x:v>
      </x:c>
      <x:c r="D8" s="10" t="str">
        <x:v>超商/餐飲</x:v>
      </x:c>
      <x:c r="E8" s="10" t="str">
        <x:v>大阪燒</x:v>
      </x:c>
      <x:c r="F8" s="14" t="n">
        <x:v>1</x:v>
      </x:c>
      <x:c r="G8" s="16" t="n">
        <x:v>384</x:v>
      </x:c>
      <x:c r="H8" s="16" t="n">
        <x:v>81</x:v>
      </x:c>
      <x:c r="I8" s="10" t="str">
        <x:v>Suica</x:v>
      </x:c>
      <x:c r="J8" s="10"/>
      <x:c r="K8" s="12" t="str"/>
    </x:row>
    <x:row r="9">
      <x:c r="A9" s="12" t="str">
        <x:v>2026-07-06</x:v>
      </x:c>
      <x:c r="B9" s="12" t="str">
        <x:v>2026-07-06</x:v>
      </x:c>
      <x:c r="C9" s="10" t="str">
        <x:v>LAWSON 祇園花見小路店</x:v>
      </x:c>
      <x:c r="D9" s="10" t="str">
        <x:v>超商/餐飲</x:v>
      </x:c>
      <x:c r="E9" s="10" t="str">
        <x:v>鮪魚美乃滋飯糰</x:v>
      </x:c>
      <x:c r="F9" s="14" t="n">
        <x:v>1</x:v>
      </x:c>
      <x:c r="G9" s="16" t="n">
        <x:v>289</x:v>
      </x:c>
      <x:c r="H9" s="16" t="n">
        <x:v>61</x:v>
      </x:c>
      <x:c r="I9" s="10" t="str">
        <x:v>Suica</x:v>
      </x:c>
      <x:c r="J9" s="10"/>
      <x:c r="K9" s="12" t="str"/>
    </x:row>
    <x:row r="10">
      <x:c r="A10" s="12" t="str">
        <x:v>2026-07-06</x:v>
      </x:c>
      <x:c r="B10" s="12" t="str">
        <x:v>2026-07-06</x:v>
      </x:c>
      <x:c r="C10" s="10" t="str">
        <x:v>LAWSON 祇園花見小路店</x:v>
      </x:c>
      <x:c r="D10" s="10" t="str">
        <x:v>超商/餐飲</x:v>
      </x:c>
      <x:c r="E10" s="10" t="str">
        <x:v>牛肉飯糰</x:v>
      </x:c>
      <x:c r="F10" s="14" t="n">
        <x:v>1</x:v>
      </x:c>
      <x:c r="G10" s="16" t="n">
        <x:v>203</x:v>
      </x:c>
      <x:c r="H10" s="16" t="n">
        <x:v>43</x:v>
      </x:c>
      <x:c r="I10" s="10" t="str">
        <x:v>Suica</x:v>
      </x:c>
      <x:c r="J10" s="10"/>
      <x:c r="K10" s="12" t="str"/>
    </x:row>
    <x:row r="11">
      <x:c r="A11" s="12" t="str">
        <x:v>2026-07-06</x:v>
      </x:c>
      <x:c r="B11" s="12" t="str">
        <x:v>2026-07-06</x:v>
      </x:c>
      <x:c r="C11" s="10" t="str">
        <x:v>LAWSON 祇園花見小路店</x:v>
      </x:c>
      <x:c r="D11" s="10" t="str">
        <x:v>超商/餐飲</x:v>
      </x:c>
      <x:c r="E11" s="10" t="str">
        <x:v>購物袋</x:v>
      </x:c>
      <x:c r="F11" s="14" t="n">
        <x:v>1</x:v>
      </x:c>
      <x:c r="G11" s="16" t="n">
        <x:v>5</x:v>
      </x:c>
      <x:c r="H11" s="16" t="n">
        <x:v>1</x:v>
      </x:c>
      <x:c r="I11" s="10" t="str">
        <x:v>Suica</x:v>
      </x:c>
      <x:c r="J11" s="10"/>
      <x:c r="K11" s="12" t="str"/>
    </x:row>
    <x:row r="12">
      <x:c r="A12" s="12" t="str">
        <x:v>2026-07-06</x:v>
      </x:c>
      <x:c r="B12" s="12" t="str">
        <x:v>2026-07-06</x:v>
      </x:c>
      <x:c r="C12" s="10" t="str">
        <x:v>鳴門鯛燒本舖</x:v>
      </x:c>
      <x:c r="D12" s="10" t="str">
        <x:v>點心</x:v>
      </x:c>
      <x:c r="E12" s="10" t="str">
        <x:v>十勝紅豆鯛魚燒</x:v>
      </x:c>
      <x:c r="F12" s="14" t="n">
        <x:v>1</x:v>
      </x:c>
      <x:c r="G12" s="16" t="n">
        <x:v>400</x:v>
      </x:c>
      <x:c r="H12" s="16" t="n">
        <x:v>84</x:v>
      </x:c>
      <x:c r="I12" s="10" t="str">
        <x:v>現金</x:v>
      </x:c>
      <x:c r="J12" s="10"/>
      <x:c r="K12" s="12" t="str"/>
    </x:row>
    <x:row r="13">
      <x:c r="A13" s="12" t="str">
        <x:v>2026-07-06</x:v>
      </x:c>
      <x:c r="B13" s="12" t="str">
        <x:v>2026-07-06</x:v>
      </x:c>
      <x:c r="C13" s="10" t="str">
        <x:v>鳴門鯛燒本舖</x:v>
      </x:c>
      <x:c r="D13" s="10" t="str">
        <x:v>點心</x:v>
      </x:c>
      <x:c r="E13" s="10" t="str">
        <x:v>卡士達鯛魚燒</x:v>
      </x:c>
      <x:c r="F13" s="14" t="n">
        <x:v>1</x:v>
      </x:c>
      <x:c r="G13" s="16" t="n">
        <x:v>400</x:v>
      </x:c>
      <x:c r="H13" s="16" t="n">
        <x:v>84</x:v>
      </x:c>
      <x:c r="I13" s="10" t="str">
        <x:v>現金</x:v>
      </x:c>
      <x:c r="J13" s="10"/>
      <x:c r="K13" s="12" t="str"/>
    </x:row>
    <x:row r="14">
      <x:c r="A14" s="12" t="str">
        <x:v>2026-07-06</x:v>
      </x:c>
      <x:c r="B14" s="12" t="str">
        <x:v>2026-07-06</x:v>
      </x:c>
      <x:c r="C14" s="10" t="str">
        <x:v>清水寺</x:v>
      </x:c>
      <x:c r="D14" s="10" t="str">
        <x:v>門票</x:v>
      </x:c>
      <x:c r="E14" s="10" t="str">
        <x:v>參拜門票－大人</x:v>
      </x:c>
      <x:c r="F14" s="14" t="n">
        <x:v>1</x:v>
      </x:c>
      <x:c r="G14" s="16" t="n">
        <x:v>500</x:v>
      </x:c>
      <x:c r="H14" s="16" t="n">
        <x:v>105</x:v>
      </x:c>
      <x:c r="I14" s="10" t="str">
        <x:v>現金</x:v>
      </x:c>
      <x:c r="J14" s="10" t="str">
        <x:v>無收據</x:v>
      </x:c>
      <x:c r="K14" s="12" t="str"/>
    </x:row>
    <x:row r="15">
      <x:c r="A15" s="12" t="str">
        <x:v>2026-07-06</x:v>
      </x:c>
      <x:c r="B15" s="12" t="str">
        <x:v>2026-07-06</x:v>
      </x:c>
      <x:c r="C15" s="10" t="str">
        <x:v>清水寺</x:v>
      </x:c>
      <x:c r="D15" s="10" t="str">
        <x:v>門票</x:v>
      </x:c>
      <x:c r="E15" s="10" t="str">
        <x:v>參拜門票－小孩</x:v>
      </x:c>
      <x:c r="F15" s="14" t="n">
        <x:v>1</x:v>
      </x:c>
      <x:c r="G15" s="16" t="n">
        <x:v>100</x:v>
      </x:c>
      <x:c r="H15" s="16" t="n">
        <x:v>21</x:v>
      </x:c>
      <x:c r="I15" s="10" t="str">
        <x:v>現金</x:v>
      </x:c>
      <x:c r="J15" s="10" t="str">
        <x:v>無收據</x:v>
      </x:c>
      <x:c r="K15" s="12" t="str"/>
    </x:row>
    <x:row r="16">
      <x:c r="A16" s="12" t="str">
        <x:v>2026-07-06</x:v>
      </x:c>
      <x:c r="B16" s="12" t="str">
        <x:v>2026-07-06</x:v>
      </x:c>
      <x:c r="C16" s="10" t="str">
        <x:v>自動販賣機</x:v>
      </x:c>
      <x:c r="D16" s="10" t="str">
        <x:v>飲料</x:v>
      </x:c>
      <x:c r="E16" s="10" t="str">
        <x:v>飲料</x:v>
      </x:c>
      <x:c r="F16" s="14" t="n">
        <x:v>2</x:v>
      </x:c>
      <x:c r="G16" s="16" t="n">
        <x:v>220</x:v>
      </x:c>
      <x:c r="H16" s="16" t="n">
        <x:v>46</x:v>
      </x:c>
      <x:c r="I16" s="10" t="str">
        <x:v>現金</x:v>
      </x:c>
      <x:c r="J16" s="10" t="str">
        <x:v>兩瓶合計 ¥220</x:v>
      </x:c>
      <x:c r="K16" s="12" t="str"/>
    </x:row>
    <x:row r="17">
      <x:c r="A17" s="12" t="str">
        <x:v>2026-07-07</x:v>
      </x:c>
      <x:c r="B17" s="12" t="str">
        <x:v>2026-07-07</x:v>
      </x:c>
      <x:c r="C17" s="10" t="str">
        <x:v>Nintendo OSAKA 11:00</x:v>
      </x:c>
      <x:c r="D17" s="10" t="str">
        <x:v>玩具/伴手禮</x:v>
      </x:c>
      <x:c r="E17" s="10" t="str">
        <x:v>瑪利歐金幣巧克力</x:v>
      </x:c>
      <x:c r="F17" s="14" t="n">
        <x:v>1</x:v>
      </x:c>
      <x:c r="G17" s="16" t="n">
        <x:v>4500</x:v>
      </x:c>
      <x:c r="H17" s="16" t="n">
        <x:v>945</x:v>
      </x:c>
      <x:c r="I17" s="10" t="str">
        <x:v>信用卡</x:v>
      </x:c>
      <x:c r="J17" s="10"/>
      <x:c r="K17" s="12" t="str"/>
    </x:row>
    <x:row r="18">
      <x:c r="A18" s="12" t="str">
        <x:v>2026-07-07</x:v>
      </x:c>
      <x:c r="B18" s="12" t="str">
        <x:v>2026-07-07</x:v>
      </x:c>
      <x:c r="C18" s="10" t="str">
        <x:v>Nintendo OSAKA 11:00</x:v>
      </x:c>
      <x:c r="D18" s="10" t="str">
        <x:v>玩具/伴手禮</x:v>
      </x:c>
      <x:c r="E18" s="10" t="str">
        <x:v>Yoshi 玩偶 S</x:v>
      </x:c>
      <x:c r="F18" s="14" t="n">
        <x:v>2</x:v>
      </x:c>
      <x:c r="G18" s="16" t="n">
        <x:v>3600</x:v>
      </x:c>
      <x:c r="H18" s="16" t="n">
        <x:v>756</x:v>
      </x:c>
      <x:c r="I18" s="10" t="str">
        <x:v>信用卡</x:v>
      </x:c>
      <x:c r="J18" s="10"/>
      <x:c r="K18" s="12" t="str"/>
    </x:row>
    <x:row r="19">
      <x:c r="A19" s="12" t="str">
        <x:v>2026-07-07</x:v>
      </x:c>
      <x:c r="B19" s="12" t="str">
        <x:v>2026-07-07</x:v>
      </x:c>
      <x:c r="C19" s="10" t="str">
        <x:v>Nintendo OSAKA 11:00</x:v>
      </x:c>
      <x:c r="D19" s="10" t="str">
        <x:v>玩具/伴手禮</x:v>
      </x:c>
      <x:c r="E19" s="10" t="str">
        <x:v>橘色 Yoshi 玩偶 S</x:v>
      </x:c>
      <x:c r="F19" s="14" t="n">
        <x:v>1</x:v>
      </x:c>
      <x:c r="G19" s="16" t="n">
        <x:v>1800</x:v>
      </x:c>
      <x:c r="H19" s="16" t="n">
        <x:v>378</x:v>
      </x:c>
      <x:c r="I19" s="10" t="str">
        <x:v>信用卡</x:v>
      </x:c>
      <x:c r="J19" s="10"/>
      <x:c r="K19" s="12" t="str"/>
    </x:row>
    <x:row r="20">
      <x:c r="A20" s="12" t="str">
        <x:v>2026-07-07</x:v>
      </x:c>
      <x:c r="B20" s="12" t="str">
        <x:v>2026-07-07</x:v>
      </x:c>
      <x:c r="C20" s="10" t="str">
        <x:v>Nintendo OSAKA 11:00</x:v>
      </x:c>
      <x:c r="D20" s="10" t="str">
        <x:v>玩具/伴手禮</x:v>
      </x:c>
      <x:c r="E20" s="10" t="str">
        <x:v>Toad 玩偶 S</x:v>
      </x:c>
      <x:c r="F20" s="14" t="n">
        <x:v>1</x:v>
      </x:c>
      <x:c r="G20" s="16" t="n">
        <x:v>1300</x:v>
      </x:c>
      <x:c r="H20" s="16" t="n">
        <x:v>273</x:v>
      </x:c>
      <x:c r="I20" s="10" t="str">
        <x:v>信用卡</x:v>
      </x:c>
      <x:c r="J20" s="10"/>
      <x:c r="K20" s="12" t="str"/>
    </x:row>
    <x:row r="21">
      <x:c r="A21" s="12" t="str">
        <x:v>2026-07-07</x:v>
      </x:c>
      <x:c r="B21" s="12" t="str">
        <x:v>2026-07-07</x:v>
      </x:c>
      <x:c r="C21" s="10" t="str">
        <x:v>Nintendo OSAKA 11:00</x:v>
      </x:c>
      <x:c r="D21" s="10" t="str">
        <x:v>玩具/伴手禮</x:v>
      </x:c>
      <x:c r="E21" s="10" t="str">
        <x:v>Kuribo 玩偶 S</x:v>
      </x:c>
      <x:c r="F21" s="14" t="n">
        <x:v>1</x:v>
      </x:c>
      <x:c r="G21" s="16" t="n">
        <x:v>1300</x:v>
      </x:c>
      <x:c r="H21" s="16" t="n">
        <x:v>273</x:v>
      </x:c>
      <x:c r="I21" s="10" t="str">
        <x:v>信用卡</x:v>
      </x:c>
      <x:c r="J21" s="10"/>
      <x:c r="K21" s="12" t="str"/>
    </x:row>
    <x:row r="22">
      <x:c r="A22" s="12" t="str">
        <x:v>2026-07-07</x:v>
      </x:c>
      <x:c r="B22" s="12" t="str">
        <x:v>2026-07-07</x:v>
      </x:c>
      <x:c r="C22" s="10" t="str">
        <x:v>Nintendo OSAKA 11:00</x:v>
      </x:c>
      <x:c r="D22" s="10" t="str">
        <x:v>玩具/伴手禮</x:v>
      </x:c>
      <x:c r="E22" s="10" t="str">
        <x:v>皮克敏小玩偶</x:v>
      </x:c>
      <x:c r="F22" s="14" t="n">
        <x:v>1</x:v>
      </x:c>
      <x:c r="G22" s="16" t="n">
        <x:v>990</x:v>
      </x:c>
      <x:c r="H22" s="16" t="n">
        <x:v>208</x:v>
      </x:c>
      <x:c r="I22" s="10" t="str">
        <x:v>信用卡</x:v>
      </x:c>
      <x:c r="J22" s="10"/>
      <x:c r="K22" s="12" t="str"/>
    </x:row>
    <x:row r="23">
      <x:c r="A23" s="12" t="str">
        <x:v>2026-07-07</x:v>
      </x:c>
      <x:c r="B23" s="12" t="str">
        <x:v>2026-07-07</x:v>
      </x:c>
      <x:c r="C23" s="10" t="str">
        <x:v>Nintendo OSAKA 11:00</x:v>
      </x:c>
      <x:c r="D23" s="10" t="str">
        <x:v>玩具/伴手禮</x:v>
      </x:c>
      <x:c r="E23" s="10" t="str">
        <x:v>寶可夢小玩偶</x:v>
      </x:c>
      <x:c r="F23" s="14" t="n">
        <x:v>3</x:v>
      </x:c>
      <x:c r="G23" s="16" t="n">
        <x:v>3600</x:v>
      </x:c>
      <x:c r="H23" s="16" t="n">
        <x:v>756</x:v>
      </x:c>
      <x:c r="I23" s="10" t="str">
        <x:v>信用卡</x:v>
      </x:c>
      <x:c r="J23" s="10"/>
      <x:c r="K23" s="12" t="str"/>
    </x:row>
    <x:row r="24">
      <x:c r="A24" s="12" t="str">
        <x:v>2026-07-07</x:v>
      </x:c>
      <x:c r="B24" s="12" t="str">
        <x:v>2026-07-07</x:v>
      </x:c>
      <x:c r="C24" s="10" t="str">
        <x:v>Nintendo OSAKA 11:00</x:v>
      </x:c>
      <x:c r="D24" s="10" t="str">
        <x:v>玩具/伴手禮</x:v>
      </x:c>
      <x:c r="E24" s="10" t="str">
        <x:v>日本茶隨身包</x:v>
      </x:c>
      <x:c r="F24" s="14" t="n">
        <x:v>5</x:v>
      </x:c>
      <x:c r="G24" s="16" t="n">
        <x:v>3400</x:v>
      </x:c>
      <x:c r="H24" s="16" t="n">
        <x:v>714</x:v>
      </x:c>
      <x:c r="I24" s="10" t="str">
        <x:v>信用卡</x:v>
      </x:c>
      <x:c r="J24" s="10"/>
      <x:c r="K24" s="12" t="str"/>
    </x:row>
    <x:row r="25">
      <x:c r="A25" s="12" t="str">
        <x:v>2026-07-07</x:v>
      </x:c>
      <x:c r="B25" s="12" t="str">
        <x:v>2026-07-07</x:v>
      </x:c>
      <x:c r="C25" s="10" t="str">
        <x:v>Nintendo OSAKA 11:00</x:v>
      </x:c>
      <x:c r="D25" s="10" t="str">
        <x:v>玩具/伴手禮</x:v>
      </x:c>
      <x:c r="E25" s="10" t="str">
        <x:v>吊飾玩偶</x:v>
      </x:c>
      <x:c r="F25" s="14" t="n">
        <x:v>1</x:v>
      </x:c>
      <x:c r="G25" s="16" t="n">
        <x:v>1500</x:v>
      </x:c>
      <x:c r="H25" s="16" t="n">
        <x:v>315</x:v>
      </x:c>
      <x:c r="I25" s="10" t="str">
        <x:v>信用卡</x:v>
      </x:c>
      <x:c r="J25" s="10"/>
      <x:c r="K25" s="12" t="str"/>
    </x:row>
    <x:row r="26">
      <x:c r="A26" s="12" t="str">
        <x:v>2026-07-07</x:v>
      </x:c>
      <x:c r="B26" s="12" t="str">
        <x:v>2026-07-07</x:v>
      </x:c>
      <x:c r="C26" s="10" t="str">
        <x:v>Nintendo OSAKA 11:00</x:v>
      </x:c>
      <x:c r="D26" s="10" t="str">
        <x:v>玩具/伴手禮</x:v>
      </x:c>
      <x:c r="E26" s="10" t="str">
        <x:v>皮克敏胸針</x:v>
      </x:c>
      <x:c r="F26" s="14" t="n">
        <x:v>3</x:v>
      </x:c>
      <x:c r="G26" s="16" t="n">
        <x:v>3000</x:v>
      </x:c>
      <x:c r="H26" s="16" t="n">
        <x:v>630</x:v>
      </x:c>
      <x:c r="I26" s="10" t="str">
        <x:v>信用卡</x:v>
      </x:c>
      <x:c r="J26" s="10"/>
      <x:c r="K26" s="12" t="str"/>
    </x:row>
    <x:row r="27">
      <x:c r="A27" s="12" t="str">
        <x:v>2026-07-07</x:v>
      </x:c>
      <x:c r="B27" s="12" t="str">
        <x:v>2026-07-07</x:v>
      </x:c>
      <x:c r="C27" s="10" t="str">
        <x:v>Nintendo OSAKA 11:00</x:v>
      </x:c>
      <x:c r="D27" s="10" t="str">
        <x:v>玩具/伴手禮</x:v>
      </x:c>
      <x:c r="E27" s="10" t="str">
        <x:v>LOGO T-shirt XL</x:v>
      </x:c>
      <x:c r="F27" s="14" t="n">
        <x:v>1</x:v>
      </x:c>
      <x:c r="G27" s="16" t="n">
        <x:v>5000</x:v>
      </x:c>
      <x:c r="H27" s="16" t="n">
        <x:v>1050</x:v>
      </x:c>
      <x:c r="I27" s="10" t="str">
        <x:v>信用卡</x:v>
      </x:c>
      <x:c r="J27" s="10"/>
      <x:c r="K27" s="12" t="str"/>
    </x:row>
    <x:row r="28">
      <x:c r="A28" s="12" t="str">
        <x:v>2026-07-07</x:v>
      </x:c>
      <x:c r="B28" s="12" t="str">
        <x:v>2026-07-07</x:v>
      </x:c>
      <x:c r="C28" s="10" t="str">
        <x:v>Nintendo OSAKA 11:00</x:v>
      </x:c>
      <x:c r="D28" s="10" t="str">
        <x:v>玩具/伴手禮</x:v>
      </x:c>
      <x:c r="E28" s="10" t="str">
        <x:v>運動毛巾</x:v>
      </x:c>
      <x:c r="F28" s="14" t="n">
        <x:v>1</x:v>
      </x:c>
      <x:c r="G28" s="16" t="n">
        <x:v>2500</x:v>
      </x:c>
      <x:c r="H28" s="16" t="n">
        <x:v>525</x:v>
      </x:c>
      <x:c r="I28" s="10" t="str">
        <x:v>信用卡</x:v>
      </x:c>
      <x:c r="J28" s="10"/>
      <x:c r="K28" s="12" t="str"/>
    </x:row>
    <x:row r="29">
      <x:c r="A29" s="12" t="str">
        <x:v>2026-07-07</x:v>
      </x:c>
      <x:c r="B29" s="12" t="str">
        <x:v>2026-07-07</x:v>
      </x:c>
      <x:c r="C29" s="10" t="str">
        <x:v>Nintendo OSAKA 11:00</x:v>
      </x:c>
      <x:c r="D29" s="10" t="str">
        <x:v>玩具/伴手禮</x:v>
      </x:c>
      <x:c r="E29" s="10" t="str">
        <x:v>待確認商品／稅費差額</x:v>
      </x:c>
      <x:c r="F29" s="14"/>
      <x:c r="G29" s="16" t="n">
        <x:v>3997</x:v>
      </x:c>
      <x:c r="H29" s="16" t="n">
        <x:v>839</x:v>
      </x:c>
      <x:c r="I29" s="10" t="str">
        <x:v>信用卡</x:v>
      </x:c>
      <x:c r="J29" s="10" t="str">
        <x:v>此收據總額 ¥36,487；差額待確認</x:v>
      </x:c>
      <x:c r="K29" s="12" t="str"/>
    </x:row>
    <x:row r="30">
      <x:c r="A30" s="12" t="str">
        <x:v>2026-07-07</x:v>
      </x:c>
      <x:c r="B30" s="12" t="str">
        <x:v>2026-07-07</x:v>
      </x:c>
      <x:c r="C30" s="10" t="str">
        <x:v>Nintendo OSAKA 16:03</x:v>
      </x:c>
      <x:c r="D30" s="10" t="str">
        <x:v>玩具/伴手禮</x:v>
      </x:c>
      <x:c r="E30" s="10" t="str">
        <x:v>Room 系列玩偶（ルーム）</x:v>
      </x:c>
      <x:c r="F30" s="14" t="n">
        <x:v>6</x:v>
      </x:c>
      <x:c r="G30" s="16" t="n">
        <x:v>8400</x:v>
      </x:c>
      <x:c r="H30" s="16" t="n">
        <x:v>1764</x:v>
      </x:c>
      <x:c r="I30" s="10" t="str">
        <x:v>信用卡</x:v>
      </x:c>
      <x:c r="J30" s="10" t="str">
        <x:v>獨立發票，不取代 11:00 收據</x:v>
      </x:c>
      <x:c r="K30" s="12" t="str"/>
    </x:row>
    <x:row r="31">
      <x:c r="A31" s="12" t="str">
        <x:v>2026-07-07</x:v>
      </x:c>
      <x:c r="B31" s="12" t="str">
        <x:v>2026-07-07</x:v>
      </x:c>
      <x:c r="C31" s="10" t="str">
        <x:v>Nintendo OSAKA 16:03</x:v>
      </x:c>
      <x:c r="D31" s="10" t="str">
        <x:v>稅金</x:v>
      </x:c>
      <x:c r="E31" s="10" t="str">
        <x:v>消費稅 10%</x:v>
      </x:c>
      <x:c r="F31" s="14"/>
      <x:c r="G31" s="16" t="n">
        <x:v>840</x:v>
      </x:c>
      <x:c r="H31" s="16" t="n">
        <x:v>176</x:v>
      </x:c>
      <x:c r="I31" s="10" t="str">
        <x:v>信用卡</x:v>
      </x:c>
      <x:c r="J31" s="10" t="str">
        <x:v>此收據合計 ¥9,240</x:v>
      </x:c>
      <x:c r="K31" s="12" t="str"/>
    </x:row>
    <x:row r="32">
      <x:c r="A32" s="12" t="str">
        <x:v>2026-07-07</x:v>
      </x:c>
      <x:c r="B32" s="12" t="str">
        <x:v>2026-07-07</x:v>
      </x:c>
      <x:c r="C32" s="10" t="str">
        <x:v>Pokémon Center Osaka</x:v>
      </x:c>
      <x:c r="D32" s="10" t="str">
        <x:v>玩具/伴手禮</x:v>
      </x:c>
      <x:c r="E32" s="10" t="str">
        <x:v>寶可夢玩偶</x:v>
      </x:c>
      <x:c r="F32" s="14" t="n">
        <x:v>1</x:v>
      </x:c>
      <x:c r="G32" s="16" t="n">
        <x:v>2200</x:v>
      </x:c>
      <x:c r="H32" s="16" t="n">
        <x:v>462</x:v>
      </x:c>
      <x:c r="I32" s="10" t="str">
        <x:v>信用卡</x:v>
      </x:c>
      <x:c r="J32" s="10"/>
      <x:c r="K32" s="12" t="str"/>
    </x:row>
    <x:row r="33">
      <x:c r="A33" s="12" t="str">
        <x:v>2026-07-07</x:v>
      </x:c>
      <x:c r="B33" s="12" t="str">
        <x:v>2026-07-07</x:v>
      </x:c>
      <x:c r="C33" s="10" t="str">
        <x:v>MUJI Grand Front Osaka</x:v>
      </x:c>
      <x:c r="D33" s="10" t="str">
        <x:v>生活用品/美妝</x:v>
      </x:c>
      <x:c r="E33" s="10" t="str">
        <x:v>網狀筆袋</x:v>
      </x:c>
      <x:c r="F33" s="14" t="n">
        <x:v>1</x:v>
      </x:c>
      <x:c r="G33" s="16" t="n">
        <x:v>490</x:v>
      </x:c>
      <x:c r="H33" s="16" t="n">
        <x:v>103</x:v>
      </x:c>
      <x:c r="I33" s="10" t="str">
        <x:v>信用卡</x:v>
      </x:c>
      <x:c r="J33" s="10"/>
      <x:c r="K33" s="12" t="str"/>
    </x:row>
    <x:row r="34">
      <x:c r="A34" s="12" t="str">
        <x:v>2026-07-07</x:v>
      </x:c>
      <x:c r="B34" s="12" t="str">
        <x:v>2026-07-07</x:v>
      </x:c>
      <x:c r="C34" s="10" t="str">
        <x:v>MUJI Grand Front Osaka</x:v>
      </x:c>
      <x:c r="D34" s="10" t="str">
        <x:v>生活用品/美妝</x:v>
      </x:c>
      <x:c r="E34" s="10" t="str">
        <x:v>BB霜</x:v>
      </x:c>
      <x:c r="F34" s="14" t="n">
        <x:v>2</x:v>
      </x:c>
      <x:c r="G34" s="16" t="n">
        <x:v>2980</x:v>
      </x:c>
      <x:c r="H34" s="16" t="n">
        <x:v>626</x:v>
      </x:c>
      <x:c r="I34" s="10" t="str">
        <x:v>信用卡</x:v>
      </x:c>
      <x:c r="J34" s="10"/>
      <x:c r="K34" s="12" t="str"/>
    </x:row>
    <x:row r="35">
      <x:c r="A35" s="12" t="str">
        <x:v>2026-07-07</x:v>
      </x:c>
      <x:c r="B35" s="12" t="str">
        <x:v>2026-07-07</x:v>
      </x:c>
      <x:c r="C35" s="10" t="str">
        <x:v>MUJI Grand Front Osaka</x:v>
      </x:c>
      <x:c r="D35" s="10" t="str">
        <x:v>生活用品/美妝</x:v>
      </x:c>
      <x:c r="E35" s="10" t="str">
        <x:v>證件套</x:v>
      </x:c>
      <x:c r="F35" s="14" t="n">
        <x:v>1</x:v>
      </x:c>
      <x:c r="G35" s="16" t="n">
        <x:v>490</x:v>
      </x:c>
      <x:c r="H35" s="16" t="n">
        <x:v>103</x:v>
      </x:c>
      <x:c r="I35" s="10" t="str">
        <x:v>信用卡</x:v>
      </x:c>
      <x:c r="J35" s="10"/>
      <x:c r="K35" s="12" t="str"/>
    </x:row>
    <x:row r="36">
      <x:c r="A36" s="12" t="str">
        <x:v>2026-07-07</x:v>
      </x:c>
      <x:c r="B36" s="12" t="str">
        <x:v>2026-07-07</x:v>
      </x:c>
      <x:c r="C36" s="10" t="str">
        <x:v>MUJI Grand Front Osaka</x:v>
      </x:c>
      <x:c r="D36" s="10" t="str">
        <x:v>生活用品/美妝</x:v>
      </x:c>
      <x:c r="E36" s="10" t="str">
        <x:v>UV粉餅</x:v>
      </x:c>
      <x:c r="F36" s="14" t="n">
        <x:v>1</x:v>
      </x:c>
      <x:c r="G36" s="16" t="n">
        <x:v>1290</x:v>
      </x:c>
      <x:c r="H36" s="16" t="n">
        <x:v>271</x:v>
      </x:c>
      <x:c r="I36" s="10" t="str">
        <x:v>信用卡</x:v>
      </x:c>
      <x:c r="J36" s="10"/>
      <x:c r="K36" s="12" t="str"/>
    </x:row>
    <x:row r="37">
      <x:c r="A37" s="12" t="str">
        <x:v>2026-07-07</x:v>
      </x:c>
      <x:c r="B37" s="12" t="str">
        <x:v>2026-07-07</x:v>
      </x:c>
      <x:c r="C37" s="10" t="str">
        <x:v>MUJI Grand Front Osaka</x:v>
      </x:c>
      <x:c r="D37" s="10" t="str">
        <x:v>生活用品/美妝</x:v>
      </x:c>
      <x:c r="E37" s="10" t="str">
        <x:v>紙袋</x:v>
      </x:c>
      <x:c r="F37" s="14" t="n">
        <x:v>1</x:v>
      </x:c>
      <x:c r="G37" s="16" t="n">
        <x:v>10</x:v>
      </x:c>
      <x:c r="H37" s="16" t="n">
        <x:v>2</x:v>
      </x:c>
      <x:c r="I37" s="10" t="str">
        <x:v>信用卡</x:v>
      </x:c>
      <x:c r="J37" s="10"/>
      <x:c r="K37" s="12" t="str"/>
    </x:row>
    <x:row r="38">
      <x:c r="A38" s="12" t="str">
        <x:v>2026-07-07</x:v>
      </x:c>
      <x:c r="B38" s="12" t="str">
        <x:v>2026-07-07</x:v>
      </x:c>
      <x:c r="C38" s="10" t="str">
        <x:v>JR 森之宮站</x:v>
      </x:c>
      <x:c r="D38" s="10" t="str">
        <x:v>交通儲值</x:v>
      </x:c>
      <x:c r="E38" s="10" t="str">
        <x:v>Suica 儲值</x:v>
      </x:c>
      <x:c r="F38" s="14" t="n">
        <x:v>1</x:v>
      </x:c>
      <x:c r="G38" s="16" t="n">
        <x:v>5000</x:v>
      </x:c>
      <x:c r="H38" s="16" t="n">
        <x:v>1050</x:v>
      </x:c>
      <x:c r="I38" s="10" t="str">
        <x:v>現金</x:v>
      </x:c>
      <x:c r="J38" s="10" t="str">
        <x:v>儲值，不列入實際消費</x:v>
      </x:c>
      <x:c r="K38" s="12" t="str"/>
    </x:row>
    <x:row r="39">
      <x:c r="A39" s="12" t="str">
        <x:v>2026-07-07</x:v>
      </x:c>
      <x:c r="B39" s="12" t="str">
        <x:v>2026-07-07</x:v>
      </x:c>
      <x:c r="C39" s="10" t="str">
        <x:v>FamilyMart</x:v>
      </x:c>
      <x:c r="D39" s="10" t="str">
        <x:v>超商/餐飲</x:v>
      </x:c>
      <x:c r="E39" s="10" t="str">
        <x:v>玉米濃湯／玉米牛奶</x:v>
      </x:c>
      <x:c r="F39" s="14" t="n">
        <x:v>2</x:v>
      </x:c>
      <x:c r="G39" s="16" t="n">
        <x:v>556</x:v>
      </x:c>
      <x:c r="H39" s="16" t="n">
        <x:v>117</x:v>
      </x:c>
      <x:c r="I39" s="10" t="str">
        <x:v>Suica</x:v>
      </x:c>
      <x:c r="J39" s="10"/>
      <x:c r="K39" s="12" t="str"/>
    </x:row>
    <x:row r="40">
      <x:c r="A40" s="12" t="str">
        <x:v>2026-07-07</x:v>
      </x:c>
      <x:c r="B40" s="12" t="str">
        <x:v>2026-07-07</x:v>
      </x:c>
      <x:c r="C40" s="10" t="str">
        <x:v>LIFE Central Square 難波店</x:v>
      </x:c>
      <x:c r="D40" s="10" t="str">
        <x:v>超市</x:v>
      </x:c>
      <x:c r="E40" s="10" t="str">
        <x:v>購物袋 L</x:v>
      </x:c>
      <x:c r="F40" s="14" t="n">
        <x:v>3</x:v>
      </x:c>
      <x:c r="G40" s="16" t="n">
        <x:v>15</x:v>
      </x:c>
      <x:c r="H40" s="16" t="n">
        <x:v>3</x:v>
      </x:c>
      <x:c r="I40" s="10" t="str">
        <x:v>信用卡</x:v>
      </x:c>
      <x:c r="J40" s="10"/>
      <x:c r="K40" s="12" t="str"/>
    </x:row>
    <x:row r="41">
      <x:c r="A41" s="12" t="str">
        <x:v>2026-07-07</x:v>
      </x:c>
      <x:c r="B41" s="12" t="str">
        <x:v>2026-07-07</x:v>
      </x:c>
      <x:c r="C41" s="10" t="str">
        <x:v>LIFE Central Square 難波店</x:v>
      </x:c>
      <x:c r="D41" s="10" t="str">
        <x:v>超市</x:v>
      </x:c>
      <x:c r="E41" s="10" t="str">
        <x:v>Almond Effect 杏仁飲</x:v>
      </x:c>
      <x:c r="F41" s="14" t="n">
        <x:v>1</x:v>
      </x:c>
      <x:c r="G41" s="16" t="n">
        <x:v>438</x:v>
      </x:c>
      <x:c r="H41" s="16" t="n">
        <x:v>92</x:v>
      </x:c>
      <x:c r="I41" s="10" t="str">
        <x:v>信用卡</x:v>
      </x:c>
      <x:c r="J41" s="10"/>
      <x:c r="K41" s="12" t="str"/>
    </x:row>
    <x:row r="42">
      <x:c r="A42" s="12" t="str">
        <x:v>2026-07-07</x:v>
      </x:c>
      <x:c r="B42" s="12" t="str">
        <x:v>2026-07-07</x:v>
      </x:c>
      <x:c r="C42" s="10" t="str">
        <x:v>LIFE Central Square 難波店</x:v>
      </x:c>
      <x:c r="D42" s="10" t="str">
        <x:v>超市</x:v>
      </x:c>
      <x:c r="E42" s="10" t="str">
        <x:v>三元豬里肌火腿切片</x:v>
      </x:c>
      <x:c r="F42" s="14" t="n">
        <x:v>1</x:v>
      </x:c>
      <x:c r="G42" s="16" t="n">
        <x:v>399</x:v>
      </x:c>
      <x:c r="H42" s="16" t="n">
        <x:v>84</x:v>
      </x:c>
      <x:c r="I42" s="10" t="str">
        <x:v>信用卡</x:v>
      </x:c>
      <x:c r="J42" s="10"/>
      <x:c r="K42" s="12" t="str"/>
    </x:row>
    <x:row r="43">
      <x:c r="A43" s="12" t="str">
        <x:v>2026-07-07</x:v>
      </x:c>
      <x:c r="B43" s="12" t="str">
        <x:v>2026-07-07</x:v>
      </x:c>
      <x:c r="C43" s="10" t="str">
        <x:v>LIFE Central Square 難波店</x:v>
      </x:c>
      <x:c r="D43" s="10" t="str">
        <x:v>超市</x:v>
      </x:c>
      <x:c r="E43" s="10" t="str">
        <x:v>炸魷魚</x:v>
      </x:c>
      <x:c r="F43" s="14" t="n">
        <x:v>1</x:v>
      </x:c>
      <x:c r="G43" s="16" t="n">
        <x:v>282</x:v>
      </x:c>
      <x:c r="H43" s="16" t="n">
        <x:v>59</x:v>
      </x:c>
      <x:c r="I43" s="10" t="str">
        <x:v>信用卡</x:v>
      </x:c>
      <x:c r="J43" s="10"/>
      <x:c r="K43" s="12" t="str"/>
    </x:row>
    <x:row r="44">
      <x:c r="A44" s="12" t="str">
        <x:v>2026-07-07</x:v>
      </x:c>
      <x:c r="B44" s="12" t="str">
        <x:v>2026-07-07</x:v>
      </x:c>
      <x:c r="C44" s="10" t="str">
        <x:v>LIFE Central Square 難波店</x:v>
      </x:c>
      <x:c r="D44" s="10" t="str">
        <x:v>超市</x:v>
      </x:c>
      <x:c r="E44" s="10" t="str">
        <x:v>洋芋片</x:v>
      </x:c>
      <x:c r="F44" s="14" t="n">
        <x:v>1</x:v>
      </x:c>
      <x:c r="G44" s="16" t="n">
        <x:v>196</x:v>
      </x:c>
      <x:c r="H44" s="16" t="n">
        <x:v>41</x:v>
      </x:c>
      <x:c r="I44" s="10" t="str">
        <x:v>信用卡</x:v>
      </x:c>
      <x:c r="J44" s="10"/>
      <x:c r="K44" s="12" t="str"/>
    </x:row>
    <x:row r="45">
      <x:c r="A45" s="12" t="str">
        <x:v>2026-07-07</x:v>
      </x:c>
      <x:c r="B45" s="12" t="str">
        <x:v>2026-07-07</x:v>
      </x:c>
      <x:c r="C45" s="10" t="str">
        <x:v>LIFE Central Square 難波店</x:v>
      </x:c>
      <x:c r="D45" s="10" t="str">
        <x:v>超市</x:v>
      </x:c>
      <x:c r="E45" s="10" t="str">
        <x:v>豆皮壽司 4入</x:v>
      </x:c>
      <x:c r="F45" s="14" t="n">
        <x:v>1</x:v>
      </x:c>
      <x:c r="G45" s="16" t="n">
        <x:v>229</x:v>
      </x:c>
      <x:c r="H45" s="16" t="n">
        <x:v>48</x:v>
      </x:c>
      <x:c r="I45" s="10" t="str">
        <x:v>信用卡</x:v>
      </x:c>
      <x:c r="J45" s="10"/>
      <x:c r="K45" s="12" t="str"/>
    </x:row>
    <x:row r="46">
      <x:c r="A46" s="12" t="str">
        <x:v>2026-07-07</x:v>
      </x:c>
      <x:c r="B46" s="12" t="str">
        <x:v>2026-07-07</x:v>
      </x:c>
      <x:c r="C46" s="10" t="str">
        <x:v>LIFE Central Square 難波店</x:v>
      </x:c>
      <x:c r="D46" s="10" t="str">
        <x:v>超市</x:v>
      </x:c>
      <x:c r="E46" s="10" t="str">
        <x:v>一口壽司 4貫</x:v>
      </x:c>
      <x:c r="F46" s="14" t="n">
        <x:v>1</x:v>
      </x:c>
      <x:c r="G46" s="16" t="n">
        <x:v>199</x:v>
      </x:c>
      <x:c r="H46" s="16" t="n">
        <x:v>42</x:v>
      </x:c>
      <x:c r="I46" s="10" t="str">
        <x:v>信用卡</x:v>
      </x:c>
      <x:c r="J46" s="10"/>
      <x:c r="K46" s="12" t="str"/>
    </x:row>
    <x:row r="47">
      <x:c r="A47" s="12" t="str">
        <x:v>2026-07-07</x:v>
      </x:c>
      <x:c r="B47" s="12" t="str">
        <x:v>2026-07-07</x:v>
      </x:c>
      <x:c r="C47" s="10" t="str">
        <x:v>LIFE Central Square 難波店</x:v>
      </x:c>
      <x:c r="D47" s="10" t="str">
        <x:v>超市</x:v>
      </x:c>
      <x:c r="E47" s="10" t="str">
        <x:v>哈密瓜汽水</x:v>
      </x:c>
      <x:c r="F47" s="14" t="n">
        <x:v>2</x:v>
      </x:c>
      <x:c r="G47" s="16" t="n">
        <x:v>716</x:v>
      </x:c>
      <x:c r="H47" s="16" t="n">
        <x:v>150</x:v>
      </x:c>
      <x:c r="I47" s="10" t="str">
        <x:v>信用卡</x:v>
      </x:c>
      <x:c r="J47" s="10"/>
      <x:c r="K47" s="12" t="str"/>
    </x:row>
    <x:row r="48">
      <x:c r="A48" s="12" t="str">
        <x:v>2026-07-07</x:v>
      </x:c>
      <x:c r="B48" s="12" t="str">
        <x:v>2026-07-07</x:v>
      </x:c>
      <x:c r="C48" s="10" t="str">
        <x:v>LIFE Central Square 難波店</x:v>
      </x:c>
      <x:c r="D48" s="10" t="str">
        <x:v>超市</x:v>
      </x:c>
      <x:c r="E48" s="10" t="str">
        <x:v>OIKOS 藍莓優格</x:v>
      </x:c>
      <x:c r="F48" s="14" t="n">
        <x:v>2</x:v>
      </x:c>
      <x:c r="G48" s="16" t="n">
        <x:v>358</x:v>
      </x:c>
      <x:c r="H48" s="16" t="n">
        <x:v>75</x:v>
      </x:c>
      <x:c r="I48" s="10" t="str">
        <x:v>信用卡</x:v>
      </x:c>
      <x:c r="J48" s="10"/>
      <x:c r="K48" s="12" t="str"/>
    </x:row>
    <x:row r="49">
      <x:c r="A49" s="12" t="str">
        <x:v>2026-07-07</x:v>
      </x:c>
      <x:c r="B49" s="12" t="str">
        <x:v>2026-07-07</x:v>
      </x:c>
      <x:c r="C49" s="10" t="str">
        <x:v>LIFE Central Square 難波店</x:v>
      </x:c>
      <x:c r="D49" s="10" t="str">
        <x:v>超市</x:v>
      </x:c>
      <x:c r="E49" s="10" t="str">
        <x:v>New Touch 函館鹽味拉麵</x:v>
      </x:c>
      <x:c r="F49" s="14" t="n">
        <x:v>1</x:v>
      </x:c>
      <x:c r="G49" s="16" t="n">
        <x:v>258</x:v>
      </x:c>
      <x:c r="H49" s="16" t="n">
        <x:v>54</x:v>
      </x:c>
      <x:c r="I49" s="10" t="str">
        <x:v>信用卡</x:v>
      </x:c>
      <x:c r="J49" s="10"/>
      <x:c r="K49" s="12" t="str"/>
    </x:row>
    <x:row r="50">
      <x:c r="A50" s="12" t="str">
        <x:v>2026-07-07</x:v>
      </x:c>
      <x:c r="B50" s="12" t="str">
        <x:v>2026-07-07</x:v>
      </x:c>
      <x:c r="C50" s="10" t="str">
        <x:v>LIFE Central Square 難波店</x:v>
      </x:c>
      <x:c r="D50" s="10" t="str">
        <x:v>超市</x:v>
      </x:c>
      <x:c r="E50" s="10" t="str">
        <x:v>天下一品 135g</x:v>
      </x:c>
      <x:c r="F50" s="14" t="n">
        <x:v>1</x:v>
      </x:c>
      <x:c r="G50" s="16" t="n">
        <x:v>258</x:v>
      </x:c>
      <x:c r="H50" s="16" t="n">
        <x:v>54</x:v>
      </x:c>
      <x:c r="I50" s="10" t="str">
        <x:v>信用卡</x:v>
      </x:c>
      <x:c r="J50" s="10"/>
      <x:c r="K50" s="12" t="str"/>
    </x:row>
    <x:row r="51">
      <x:c r="A51" s="12" t="str">
        <x:v>2026-07-07</x:v>
      </x:c>
      <x:c r="B51" s="12" t="str">
        <x:v>2026-07-07</x:v>
      </x:c>
      <x:c r="C51" s="10" t="str">
        <x:v>LIFE Central Square 難波店</x:v>
      </x:c>
      <x:c r="D51" s="10" t="str">
        <x:v>超市</x:v>
      </x:c>
      <x:c r="E51" s="10" t="str">
        <x:v>OIKOS 草莓優格</x:v>
      </x:c>
      <x:c r="F51" s="14" t="n">
        <x:v>1</x:v>
      </x:c>
      <x:c r="G51" s="16" t="n">
        <x:v>179</x:v>
      </x:c>
      <x:c r="H51" s="16" t="n">
        <x:v>38</x:v>
      </x:c>
      <x:c r="I51" s="10" t="str">
        <x:v>信用卡</x:v>
      </x:c>
      <x:c r="J51" s="10"/>
      <x:c r="K51" s="12" t="str"/>
    </x:row>
    <x:row r="52">
      <x:c r="A52" s="12" t="str">
        <x:v>2026-07-07</x:v>
      </x:c>
      <x:c r="B52" s="12" t="str">
        <x:v>2026-07-07</x:v>
      </x:c>
      <x:c r="C52" s="10" t="str">
        <x:v>LIFE Central Square 難波店</x:v>
      </x:c>
      <x:c r="D52" s="10" t="str">
        <x:v>超市</x:v>
      </x:c>
      <x:c r="E52" s="10" t="str">
        <x:v>OIKOS 綜合水果優格</x:v>
      </x:c>
      <x:c r="F52" s="14" t="n">
        <x:v>1</x:v>
      </x:c>
      <x:c r="G52" s="16" t="n">
        <x:v>169</x:v>
      </x:c>
      <x:c r="H52" s="16" t="n">
        <x:v>35</x:v>
      </x:c>
      <x:c r="I52" s="10" t="str">
        <x:v>信用卡</x:v>
      </x:c>
      <x:c r="J52" s="10"/>
      <x:c r="K52" s="12" t="str"/>
    </x:row>
    <x:row r="53">
      <x:c r="A53" s="12" t="str">
        <x:v>2026-07-07</x:v>
      </x:c>
      <x:c r="B53" s="12" t="str">
        <x:v>2026-07-07</x:v>
      </x:c>
      <x:c r="C53" s="10" t="str">
        <x:v>LIFE Central Square 難波店</x:v>
      </x:c>
      <x:c r="D53" s="10" t="str">
        <x:v>超市</x:v>
      </x:c>
      <x:c r="E53" s="10" t="str">
        <x:v>日清 拉王濃味噌</x:v>
      </x:c>
      <x:c r="F53" s="14" t="n">
        <x:v>1</x:v>
      </x:c>
      <x:c r="G53" s="16" t="n">
        <x:v>298</x:v>
      </x:c>
      <x:c r="H53" s="16" t="n">
        <x:v>63</x:v>
      </x:c>
      <x:c r="I53" s="10" t="str">
        <x:v>信用卡</x:v>
      </x:c>
      <x:c r="J53" s="10"/>
      <x:c r="K53" s="12" t="str"/>
    </x:row>
    <x:row r="54">
      <x:c r="A54" s="12" t="str">
        <x:v>2026-07-07</x:v>
      </x:c>
      <x:c r="B54" s="12" t="str">
        <x:v>2026-07-07</x:v>
      </x:c>
      <x:c r="C54" s="10" t="str">
        <x:v>LIFE Central Square 難波店</x:v>
      </x:c>
      <x:c r="D54" s="10" t="str">
        <x:v>超市</x:v>
      </x:c>
      <x:c r="E54" s="10" t="str">
        <x:v>日清 拉王背脂醬油</x:v>
      </x:c>
      <x:c r="F54" s="14" t="n">
        <x:v>1</x:v>
      </x:c>
      <x:c r="G54" s="16" t="n">
        <x:v>298</x:v>
      </x:c>
      <x:c r="H54" s="16" t="n">
        <x:v>63</x:v>
      </x:c>
      <x:c r="I54" s="10" t="str">
        <x:v>信用卡</x:v>
      </x:c>
      <x:c r="J54" s="10"/>
      <x:c r="K54" s="12" t="str"/>
    </x:row>
    <x:row r="55">
      <x:c r="A55" s="12" t="str">
        <x:v>2026-07-07</x:v>
      </x:c>
      <x:c r="B55" s="12" t="str">
        <x:v>2026-07-07</x:v>
      </x:c>
      <x:c r="C55" s="10" t="str">
        <x:v>LIFE Central Square 難波店</x:v>
      </x:c>
      <x:c r="D55" s="10" t="str">
        <x:v>超市</x:v>
      </x:c>
      <x:c r="E55" s="10" t="str">
        <x:v>櫻島雞肉沙拉雞</x:v>
      </x:c>
      <x:c r="F55" s="14" t="n">
        <x:v>2</x:v>
      </x:c>
      <x:c r="G55" s="16" t="n">
        <x:v>496</x:v>
      </x:c>
      <x:c r="H55" s="16" t="n">
        <x:v>104</x:v>
      </x:c>
      <x:c r="I55" s="10" t="str">
        <x:v>信用卡</x:v>
      </x:c>
      <x:c r="J55" s="10"/>
      <x:c r="K55" s="12" t="str"/>
    </x:row>
    <x:row r="56">
      <x:c r="A56" s="12" t="str">
        <x:v>2026-07-07</x:v>
      </x:c>
      <x:c r="B56" s="12" t="str">
        <x:v>2026-07-07</x:v>
      </x:c>
      <x:c r="C56" s="10" t="str">
        <x:v>LIFE Central Square 難波店</x:v>
      </x:c>
      <x:c r="D56" s="10" t="str">
        <x:v>超市</x:v>
      </x:c>
      <x:c r="E56" s="10" t="str">
        <x:v>伊藤培根披薩</x:v>
      </x:c>
      <x:c r="F56" s="14" t="n">
        <x:v>1</x:v>
      </x:c>
      <x:c r="G56" s="16" t="n">
        <x:v>298</x:v>
      </x:c>
      <x:c r="H56" s="16" t="n">
        <x:v>63</x:v>
      </x:c>
      <x:c r="I56" s="10" t="str">
        <x:v>信用卡</x:v>
      </x:c>
      <x:c r="J56" s="10"/>
      <x:c r="K56" s="12" t="str"/>
    </x:row>
    <x:row r="57">
      <x:c r="A57" s="12" t="str">
        <x:v>2026-07-07</x:v>
      </x:c>
      <x:c r="B57" s="12" t="str">
        <x:v>2026-07-07</x:v>
      </x:c>
      <x:c r="C57" s="10" t="str">
        <x:v>LIFE Central Square 難波店</x:v>
      </x:c>
      <x:c r="D57" s="10" t="str">
        <x:v>超市</x:v>
      </x:c>
      <x:c r="E57" s="10" t="str">
        <x:v>伊藤瑪格麗特披薩</x:v>
      </x:c>
      <x:c r="F57" s="14" t="n">
        <x:v>1</x:v>
      </x:c>
      <x:c r="G57" s="16" t="n">
        <x:v>298</x:v>
      </x:c>
      <x:c r="H57" s="16" t="n">
        <x:v>63</x:v>
      </x:c>
      <x:c r="I57" s="10" t="str">
        <x:v>信用卡</x:v>
      </x:c>
      <x:c r="J57" s="10"/>
      <x:c r="K57" s="12" t="str"/>
    </x:row>
    <x:row r="58">
      <x:c r="A58" s="12" t="str">
        <x:v>2026-07-07</x:v>
      </x:c>
      <x:c r="B58" s="12" t="str">
        <x:v>2026-07-07</x:v>
      </x:c>
      <x:c r="C58" s="10" t="str">
        <x:v>LIFE Central Square 難波店</x:v>
      </x:c>
      <x:c r="D58" s="10" t="str">
        <x:v>超市</x:v>
      </x:c>
      <x:c r="E58" s="10" t="str">
        <x:v>菠菜</x:v>
      </x:c>
      <x:c r="F58" s="14" t="n">
        <x:v>1</x:v>
      </x:c>
      <x:c r="G58" s="16" t="n">
        <x:v>158</x:v>
      </x:c>
      <x:c r="H58" s="16" t="n">
        <x:v>33</x:v>
      </x:c>
      <x:c r="I58" s="10" t="str">
        <x:v>信用卡</x:v>
      </x:c>
      <x:c r="J58" s="10"/>
      <x:c r="K58" s="12" t="str"/>
    </x:row>
    <x:row r="59">
      <x:c r="A59" s="12" t="str">
        <x:v>2026-07-07</x:v>
      </x:c>
      <x:c r="B59" s="12" t="str">
        <x:v>2026-07-07</x:v>
      </x:c>
      <x:c r="C59" s="10" t="str">
        <x:v>LIFE Central Square 難波店</x:v>
      </x:c>
      <x:c r="D59" s="10" t="str">
        <x:v>超市</x:v>
      </x:c>
      <x:c r="E59" s="10" t="str">
        <x:v>消費稅／差額</x:v>
      </x:c>
      <x:c r="F59" s="14"/>
      <x:c r="G59" s="16" t="n">
        <x:v>451</x:v>
      </x:c>
      <x:c r="H59" s="16" t="n">
        <x:v>95</x:v>
      </x:c>
      <x:c r="I59" s="10" t="str">
        <x:v>信用卡</x:v>
      </x:c>
      <x:c r="J59" s="10"/>
      <x:c r="K59" s="12" t="str"/>
    </x:row>
    <x:row r="60">
      <x:c r="A60" s="12" t="str">
        <x:v>2026-07-08</x:v>
      </x:c>
      <x:c r="B60" s="12" t="str">
        <x:v>2026-07-08</x:v>
      </x:c>
      <x:c r="C60" s="10" t="str">
        <x:v>大國藥妝</x:v>
      </x:c>
      <x:c r="D60" s="10" t="str">
        <x:v>藥妝/保健</x:v>
      </x:c>
      <x:c r="E60" s="10" t="str">
        <x:v>Za 精華乳組</x:v>
      </x:c>
      <x:c r="F60" s="14" t="n">
        <x:v>1</x:v>
      </x:c>
      <x:c r="G60" s="16" t="n">
        <x:v>29808</x:v>
      </x:c>
      <x:c r="H60" s="16" t="n">
        <x:v>6260</x:v>
      </x:c>
      <x:c r="I60" s="10" t="str">
        <x:v>信用卡</x:v>
      </x:c>
      <x:c r="J60" s="10" t="str">
        <x:v>免稅；已確認</x:v>
      </x:c>
      <x:c r="K60" s="12" t="str"/>
    </x:row>
    <x:row r="61">
      <x:c r="A61" s="12" t="str">
        <x:v>2026-07-08</x:v>
      </x:c>
      <x:c r="B61" s="12" t="str">
        <x:v>2026-07-08</x:v>
      </x:c>
      <x:c r="C61" s="10" t="str">
        <x:v>大國藥妝</x:v>
      </x:c>
      <x:c r="D61" s="10" t="str">
        <x:v>藥妝/保健</x:v>
      </x:c>
      <x:c r="E61" s="10" t="str">
        <x:v>曼秀雷敦護唇膏</x:v>
      </x:c>
      <x:c r="F61" s="14" t="n">
        <x:v>2</x:v>
      </x:c>
      <x:c r="G61" s="16" t="n">
        <x:v>734</x:v>
      </x:c>
      <x:c r="H61" s="16" t="n">
        <x:v>154</x:v>
      </x:c>
      <x:c r="I61" s="10" t="str">
        <x:v>信用卡</x:v>
      </x:c>
      <x:c r="J61" s="10" t="str">
        <x:v>免稅；已確認</x:v>
      </x:c>
      <x:c r="K61" s="12" t="str"/>
    </x:row>
    <x:row r="62">
      <x:c r="A62" s="12" t="str">
        <x:v>2026-07-08</x:v>
      </x:c>
      <x:c r="B62" s="12" t="str">
        <x:v>2026-07-08</x:v>
      </x:c>
      <x:c r="C62" s="10" t="str">
        <x:v>大國藥妝</x:v>
      </x:c>
      <x:c r="D62" s="10" t="str">
        <x:v>藥妝/保健</x:v>
      </x:c>
      <x:c r="E62" s="10" t="str">
        <x:v>Kororo 麝香葡萄軟糖</x:v>
      </x:c>
      <x:c r="F62" s="14" t="n">
        <x:v>2</x:v>
      </x:c>
      <x:c r="G62" s="16" t="n">
        <x:v>162</x:v>
      </x:c>
      <x:c r="H62" s="16" t="n">
        <x:v>34</x:v>
      </x:c>
      <x:c r="I62" s="10" t="str">
        <x:v>信用卡</x:v>
      </x:c>
      <x:c r="J62" s="10" t="str">
        <x:v>免稅；已確認</x:v>
      </x:c>
      <x:c r="K62" s="12" t="str"/>
    </x:row>
    <x:row r="63">
      <x:c r="A63" s="12" t="str">
        <x:v>2026-07-08</x:v>
      </x:c>
      <x:c r="B63" s="12" t="str">
        <x:v>2026-07-08</x:v>
      </x:c>
      <x:c r="C63" s="10" t="str">
        <x:v>大國藥妝</x:v>
      </x:c>
      <x:c r="D63" s="10" t="str">
        <x:v>藥妝/保健</x:v>
      </x:c>
      <x:c r="E63" s="10" t="str">
        <x:v>Kororo 葡萄軟糖</x:v>
      </x:c>
      <x:c r="F63" s="14" t="n">
        <x:v>2</x:v>
      </x:c>
      <x:c r="G63" s="16" t="n">
        <x:v>162</x:v>
      </x:c>
      <x:c r="H63" s="16" t="n">
        <x:v>34</x:v>
      </x:c>
      <x:c r="I63" s="10" t="str">
        <x:v>信用卡</x:v>
      </x:c>
      <x:c r="J63" s="10" t="str">
        <x:v>免稅；已確認</x:v>
      </x:c>
      <x:c r="K63" s="12" t="str"/>
    </x:row>
    <x:row r="64">
      <x:c r="A64" s="12" t="str">
        <x:v>2026-07-08</x:v>
      </x:c>
      <x:c r="B64" s="12" t="str">
        <x:v>2026-07-08</x:v>
      </x:c>
      <x:c r="C64" s="10" t="str">
        <x:v>大國藥妝</x:v>
      </x:c>
      <x:c r="D64" s="10" t="str">
        <x:v>藥妝/保健</x:v>
      </x:c>
      <x:c r="E64" s="10" t="str">
        <x:v>Acnes 痘痘凝膠</x:v>
      </x:c>
      <x:c r="F64" s="14" t="n">
        <x:v>3</x:v>
      </x:c>
      <x:c r="G64" s="16" t="n">
        <x:v>2706</x:v>
      </x:c>
      <x:c r="H64" s="16" t="n">
        <x:v>568</x:v>
      </x:c>
      <x:c r="I64" s="10" t="str">
        <x:v>信用卡</x:v>
      </x:c>
      <x:c r="J64" s="10" t="str">
        <x:v>免稅；已確認</x:v>
      </x:c>
      <x:c r="K64" s="12" t="str"/>
    </x:row>
    <x:row r="65">
      <x:c r="A65" s="12" t="str">
        <x:v>2026-07-08</x:v>
      </x:c>
      <x:c r="B65" s="12" t="str">
        <x:v>2026-07-08</x:v>
      </x:c>
      <x:c r="C65" s="10" t="str">
        <x:v>大國藥妝</x:v>
      </x:c>
      <x:c r="D65" s="10" t="str">
        <x:v>藥妝/保健</x:v>
      </x:c>
      <x:c r="E65" s="10" t="str">
        <x:v>樂敦 Shin Smart 眼藥水 14T</x:v>
      </x:c>
      <x:c r="F65" s="14" t="n">
        <x:v>1</x:v>
      </x:c>
      <x:c r="G65" s="16" t="n">
        <x:v>1178</x:v>
      </x:c>
      <x:c r="H65" s="16" t="n">
        <x:v>247</x:v>
      </x:c>
      <x:c r="I65" s="10" t="str">
        <x:v>信用卡</x:v>
      </x:c>
      <x:c r="J65" s="10" t="str">
        <x:v>免稅；已確認</x:v>
      </x:c>
      <x:c r="K65" s="12" t="str"/>
    </x:row>
    <x:row r="66">
      <x:c r="A66" s="12" t="str">
        <x:v>2026-07-08</x:v>
      </x:c>
      <x:c r="B66" s="12" t="str">
        <x:v>2026-07-08</x:v>
      </x:c>
      <x:c r="C66" s="10" t="str">
        <x:v>大國藥妝</x:v>
      </x:c>
      <x:c r="D66" s="10" t="str">
        <x:v>藥妝/保健</x:v>
      </x:c>
      <x:c r="E66" s="10" t="str">
        <x:v>曼秀雷敦 Lip Smart 潤唇膏 15g</x:v>
      </x:c>
      <x:c r="F66" s="14" t="n">
        <x:v>2</x:v>
      </x:c>
      <x:c r="G66" s="16" t="n">
        <x:v>1804</x:v>
      </x:c>
      <x:c r="H66" s="16" t="n">
        <x:v>379</x:v>
      </x:c>
      <x:c r="I66" s="10" t="str">
        <x:v>信用卡</x:v>
      </x:c>
      <x:c r="J66" s="10" t="str">
        <x:v>免稅；已確認</x:v>
      </x:c>
      <x:c r="K66" s="12" t="str"/>
    </x:row>
    <x:row r="67">
      <x:c r="A67" s="12" t="str">
        <x:v>2026-07-08</x:v>
      </x:c>
      <x:c r="B67" s="12" t="str">
        <x:v>2026-07-08</x:v>
      </x:c>
      <x:c r="C67" s="10" t="str">
        <x:v>大國藥妝</x:v>
      </x:c>
      <x:c r="D67" s="10" t="str">
        <x:v>藥妝/保健</x:v>
      </x:c>
      <x:c r="E67" s="10" t="str">
        <x:v>Ipo Care Gel Rich 25g</x:v>
      </x:c>
      <x:c r="F67" s="14" t="n">
        <x:v>2</x:v>
      </x:c>
      <x:c r="G67" s="16" t="n">
        <x:v>3460</x:v>
      </x:c>
      <x:c r="H67" s="16" t="n">
        <x:v>727</x:v>
      </x:c>
      <x:c r="I67" s="10" t="str">
        <x:v>信用卡</x:v>
      </x:c>
      <x:c r="J67" s="10" t="str">
        <x:v>免稅；已確認</x:v>
      </x:c>
      <x:c r="K67" s="12" t="str"/>
    </x:row>
    <x:row r="68">
      <x:c r="A68" s="12" t="str">
        <x:v>2026-07-08</x:v>
      </x:c>
      <x:c r="B68" s="12" t="str">
        <x:v>2026-07-08</x:v>
      </x:c>
      <x:c r="C68" s="10" t="str">
        <x:v>大國藥妝</x:v>
      </x:c>
      <x:c r="D68" s="10" t="str">
        <x:v>藥妝/保健</x:v>
      </x:c>
      <x:c r="E68" s="10" t="str">
        <x:v>藍莓黑醋飲</x:v>
      </x:c>
      <x:c r="F68" s="14" t="n">
        <x:v>1</x:v>
      </x:c>
      <x:c r="G68" s="16" t="n">
        <x:v>302</x:v>
      </x:c>
      <x:c r="H68" s="16" t="n">
        <x:v>63</x:v>
      </x:c>
      <x:c r="I68" s="10" t="str">
        <x:v>信用卡</x:v>
      </x:c>
      <x:c r="J68" s="10" t="str">
        <x:v>免稅；已確認</x:v>
      </x:c>
      <x:c r="K68" s="12" t="str"/>
    </x:row>
    <x:row r="69">
      <x:c r="A69" s="12" t="str">
        <x:v>2026-07-08</x:v>
      </x:c>
      <x:c r="B69" s="12" t="str">
        <x:v>2026-07-08</x:v>
      </x:c>
      <x:c r="C69" s="10" t="str">
        <x:v>大國藥妝</x:v>
      </x:c>
      <x:c r="D69" s="10" t="str">
        <x:v>藥妝/保健</x:v>
      </x:c>
      <x:c r="E69" s="10" t="str">
        <x:v>GABA 保健食品</x:v>
      </x:c>
      <x:c r="F69" s="14" t="n">
        <x:v>2</x:v>
      </x:c>
      <x:c r="G69" s="16" t="n">
        <x:v>3092</x:v>
      </x:c>
      <x:c r="H69" s="16" t="n">
        <x:v>649</x:v>
      </x:c>
      <x:c r="I69" s="10" t="str">
        <x:v>信用卡</x:v>
      </x:c>
      <x:c r="J69" s="10" t="str">
        <x:v>免稅；已確認</x:v>
      </x:c>
      <x:c r="K69" s="12" t="str"/>
    </x:row>
    <x:row r="70">
      <x:c r="A70" s="12" t="str">
        <x:v>2026-07-08</x:v>
      </x:c>
      <x:c r="B70" s="12" t="str">
        <x:v>2026-07-08</x:v>
      </x:c>
      <x:c r="C70" s="10" t="str">
        <x:v>大國藥妝</x:v>
      </x:c>
      <x:c r="D70" s="10" t="str">
        <x:v>藥妝/保健</x:v>
      </x:c>
      <x:c r="E70" s="10" t="str">
        <x:v>樂敦眼藥水 13ml</x:v>
      </x:c>
      <x:c r="F70" s="14" t="n">
        <x:v>1</x:v>
      </x:c>
      <x:c r="G70" s="16" t="n">
        <x:v>551</x:v>
      </x:c>
      <x:c r="H70" s="16" t="n">
        <x:v>116</x:v>
      </x:c>
      <x:c r="I70" s="10" t="str">
        <x:v>信用卡</x:v>
      </x:c>
      <x:c r="J70" s="10" t="str">
        <x:v>免稅；已確認</x:v>
      </x:c>
      <x:c r="K70" s="12" t="str"/>
    </x:row>
    <x:row r="71">
      <x:c r="A71" s="12" t="str">
        <x:v>2026-07-08</x:v>
      </x:c>
      <x:c r="B71" s="12" t="str">
        <x:v>2026-07-08</x:v>
      </x:c>
      <x:c r="C71" s="10" t="str">
        <x:v>大國藥妝</x:v>
      </x:c>
      <x:c r="D71" s="10" t="str">
        <x:v>藥妝/保健</x:v>
      </x:c>
      <x:c r="E71" s="10" t="str">
        <x:v>樂敦 FX 15ml</x:v>
      </x:c>
      <x:c r="F71" s="14" t="n">
        <x:v>1</x:v>
      </x:c>
      <x:c r="G71" s="16" t="n">
        <x:v>201</x:v>
      </x:c>
      <x:c r="H71" s="16" t="n">
        <x:v>42</x:v>
      </x:c>
      <x:c r="I71" s="10" t="str">
        <x:v>信用卡</x:v>
      </x:c>
      <x:c r="J71" s="10" t="str">
        <x:v>免稅；已確認</x:v>
      </x:c>
      <x:c r="K71" s="12" t="str"/>
    </x:row>
    <x:row r="72">
      <x:c r="A72" s="12" t="str">
        <x:v>2026-07-08</x:v>
      </x:c>
      <x:c r="B72" s="12" t="str">
        <x:v>2026-07-08</x:v>
      </x:c>
      <x:c r="C72" s="10" t="str">
        <x:v>大國藥妝</x:v>
      </x:c>
      <x:c r="D72" s="10" t="str">
        <x:v>藥妝/保健</x:v>
      </x:c>
      <x:c r="E72" s="10" t="str">
        <x:v>樂敦 Active Premium 15ml</x:v>
      </x:c>
      <x:c r="F72" s="14" t="n">
        <x:v>1</x:v>
      </x:c>
      <x:c r="G72" s="16" t="n">
        <x:v>1380</x:v>
      </x:c>
      <x:c r="H72" s="16" t="n">
        <x:v>290</x:v>
      </x:c>
      <x:c r="I72" s="10" t="str">
        <x:v>信用卡</x:v>
      </x:c>
      <x:c r="J72" s="10" t="str">
        <x:v>免稅；已確認</x:v>
      </x:c>
      <x:c r="K72" s="12" t="str"/>
    </x:row>
    <x:row r="73">
      <x:c r="A73" s="12" t="str">
        <x:v>2026-07-08</x:v>
      </x:c>
      <x:c r="B73" s="12" t="str">
        <x:v>2026-07-08</x:v>
      </x:c>
      <x:c r="C73" s="10" t="str">
        <x:v>大國藥妝</x:v>
      </x:c>
      <x:c r="D73" s="10" t="str">
        <x:v>藥妝/保健</x:v>
      </x:c>
      <x:c r="E73" s="10" t="str">
        <x:v>藍莓保健錠</x:v>
      </x:c>
      <x:c r="F73" s="14" t="n">
        <x:v>2</x:v>
      </x:c>
      <x:c r="G73" s="16" t="n">
        <x:v>4748</x:v>
      </x:c>
      <x:c r="H73" s="16" t="n">
        <x:v>997</x:v>
      </x:c>
      <x:c r="I73" s="10" t="str">
        <x:v>信用卡</x:v>
      </x:c>
      <x:c r="J73" s="10" t="str">
        <x:v>免稅；已確認</x:v>
      </x:c>
      <x:c r="K73" s="12" t="str"/>
    </x:row>
    <x:row r="74">
      <x:c r="A74" s="12" t="str">
        <x:v>2026-07-08</x:v>
      </x:c>
      <x:c r="B74" s="12" t="str">
        <x:v>2026-07-08</x:v>
      </x:c>
      <x:c r="C74" s="10" t="str">
        <x:v>大國藥妝</x:v>
      </x:c>
      <x:c r="D74" s="10" t="str">
        <x:v>藥妝/保健</x:v>
      </x:c>
      <x:c r="E74" s="10" t="str">
        <x:v>Chocola BB Pure 大盒</x:v>
      </x:c>
      <x:c r="F74" s="14" t="n">
        <x:v>1</x:v>
      </x:c>
      <x:c r="G74" s="16" t="n">
        <x:v>3294</x:v>
      </x:c>
      <x:c r="H74" s="16" t="n">
        <x:v>692</x:v>
      </x:c>
      <x:c r="I74" s="10" t="str">
        <x:v>信用卡</x:v>
      </x:c>
      <x:c r="J74" s="10" t="str">
        <x:v>免稅；已確認</x:v>
      </x:c>
      <x:c r="K74" s="12" t="str"/>
    </x:row>
    <x:row r="75">
      <x:c r="A75" s="12" t="str">
        <x:v>2026-07-08</x:v>
      </x:c>
      <x:c r="B75" s="12" t="str">
        <x:v>2026-07-08</x:v>
      </x:c>
      <x:c r="C75" s="10" t="str">
        <x:v>大國藥妝</x:v>
      </x:c>
      <x:c r="D75" s="10" t="str">
        <x:v>藥妝/保健</x:v>
      </x:c>
      <x:c r="E75" s="10" t="str">
        <x:v>Chocola BB Pure 小盒</x:v>
      </x:c>
      <x:c r="F75" s="14" t="n">
        <x:v>1</x:v>
      </x:c>
      <x:c r="G75" s="16" t="n">
        <x:v>902</x:v>
      </x:c>
      <x:c r="H75" s="16" t="n">
        <x:v>189</x:v>
      </x:c>
      <x:c r="I75" s="10" t="str">
        <x:v>信用卡</x:v>
      </x:c>
      <x:c r="J75" s="10" t="str">
        <x:v>免稅；已確認</x:v>
      </x:c>
      <x:c r="K75" s="12" t="str"/>
    </x:row>
    <x:row r="76">
      <x:c r="A76" s="12" t="str">
        <x:v>2026-07-08</x:v>
      </x:c>
      <x:c r="B76" s="12" t="str">
        <x:v>2026-07-08</x:v>
      </x:c>
      <x:c r="C76" s="10" t="str">
        <x:v>大國藥妝</x:v>
      </x:c>
      <x:c r="D76" s="10" t="str">
        <x:v>藥妝/保健</x:v>
      </x:c>
      <x:c r="E76" s="10" t="str">
        <x:v>Mentholatum Botanical 護唇膏</x:v>
      </x:c>
      <x:c r="F76" s="14" t="n">
        <x:v>2</x:v>
      </x:c>
      <x:c r="G76" s="16" t="n">
        <x:v>1194</x:v>
      </x:c>
      <x:c r="H76" s="16" t="n">
        <x:v>251</x:v>
      </x:c>
      <x:c r="I76" s="10" t="str">
        <x:v>信用卡</x:v>
      </x:c>
      <x:c r="J76" s="10" t="str">
        <x:v>免稅；已確認</x:v>
      </x:c>
      <x:c r="K76" s="12" t="str"/>
    </x:row>
    <x:row r="77">
      <x:c r="A77" s="12" t="str">
        <x:v>2026-07-08</x:v>
      </x:c>
      <x:c r="B77" s="12" t="str">
        <x:v>2026-07-08</x:v>
      </x:c>
      <x:c r="C77" s="10" t="str">
        <x:v>大國藥妝</x:v>
      </x:c>
      <x:c r="D77" s="10" t="str">
        <x:v>藥妝/保健</x:v>
      </x:c>
      <x:c r="E77" s="10" t="str">
        <x:v>DHC 護唇膏</x:v>
      </x:c>
      <x:c r="F77" s="14" t="n">
        <x:v>2</x:v>
      </x:c>
      <x:c r="G77" s="16" t="n">
        <x:v>856</x:v>
      </x:c>
      <x:c r="H77" s="16" t="n">
        <x:v>180</x:v>
      </x:c>
      <x:c r="I77" s="10" t="str">
        <x:v>信用卡</x:v>
      </x:c>
      <x:c r="J77" s="10" t="str">
        <x:v>免稅；已確認</x:v>
      </x:c>
      <x:c r="K77" s="12" t="str"/>
    </x:row>
    <x:row r="78">
      <x:c r="A78" s="12" t="str">
        <x:v>2026-07-08</x:v>
      </x:c>
      <x:c r="B78" s="12" t="str">
        <x:v>2026-07-08</x:v>
      </x:c>
      <x:c r="C78" s="10" t="str">
        <x:v>大國藥妝</x:v>
      </x:c>
      <x:c r="D78" s="10" t="str">
        <x:v>藥妝/保健</x:v>
      </x:c>
      <x:c r="E78" s="10" t="str">
        <x:v>PAIR Acne Cream W 24g</x:v>
      </x:c>
      <x:c r="F78" s="14" t="n">
        <x:v>2</x:v>
      </x:c>
      <x:c r="G78" s="16" t="n">
        <x:v>1804</x:v>
      </x:c>
      <x:c r="H78" s="16" t="n">
        <x:v>379</x:v>
      </x:c>
      <x:c r="I78" s="10" t="str">
        <x:v>信用卡</x:v>
      </x:c>
      <x:c r="J78" s="10" t="str">
        <x:v>免稅；已確認</x:v>
      </x:c>
      <x:c r="K78" s="12" t="str"/>
    </x:row>
    <x:row r="79">
      <x:c r="A79" s="12" t="str">
        <x:v>2026-07-08</x:v>
      </x:c>
      <x:c r="B79" s="12" t="str">
        <x:v>2026-07-08</x:v>
      </x:c>
      <x:c r="C79" s="10" t="str">
        <x:v>一蘭拉麵</x:v>
      </x:c>
      <x:c r="D79" s="10" t="str">
        <x:v>餐飲</x:v>
      </x:c>
      <x:c r="E79" s="10" t="str">
        <x:v>店內用餐</x:v>
      </x:c>
      <x:c r="F79" s="14"/>
      <x:c r="G79" s="16" t="n">
        <x:v>4200</x:v>
      </x:c>
      <x:c r="H79" s="16" t="n">
        <x:v>882</x:v>
      </x:c>
      <x:c r="I79" s="10" t="str">
        <x:v>信用卡</x:v>
      </x:c>
      <x:c r="J79" s="10"/>
      <x:c r="K79" s="12" t="str"/>
    </x:row>
    <x:row r="80">
      <x:c r="A80" s="12" t="str">
        <x:v>2026-07-08</x:v>
      </x:c>
      <x:c r="B80" s="12" t="str">
        <x:v>2026-07-08</x:v>
      </x:c>
      <x:c r="C80" s="10" t="str">
        <x:v>一蘭伴手禮</x:v>
      </x:c>
      <x:c r="D80" s="10" t="str">
        <x:v>伴手禮</x:v>
      </x:c>
      <x:c r="E80" s="10" t="str">
        <x:v>一蘭杯麵</x:v>
      </x:c>
      <x:c r="F80" s="14" t="n">
        <x:v>2</x:v>
      </x:c>
      <x:c r="G80" s="16" t="n">
        <x:v>1080</x:v>
      </x:c>
      <x:c r="H80" s="16" t="n">
        <x:v>227</x:v>
      </x:c>
      <x:c r="I80" s="10" t="str">
        <x:v>現金/信用卡</x:v>
      </x:c>
      <x:c r="J80" s="10"/>
      <x:c r="K80" s="12" t="str"/>
    </x:row>
    <x:row r="81">
      <x:c r="A81" s="12" t="str">
        <x:v>2026-07-09</x:v>
      </x:c>
      <x:c r="B81" s="12" t="str">
        <x:v>2026-07-09</x:v>
      </x:c>
      <x:c r="C81" s="10" t="str">
        <x:v>平等院</x:v>
      </x:c>
      <x:c r="D81" s="10" t="str">
        <x:v>門票</x:v>
      </x:c>
      <x:c r="E81" s="10" t="str">
        <x:v>大人門票</x:v>
      </x:c>
      <x:c r="F81" s="14" t="n">
        <x:v>1</x:v>
      </x:c>
      <x:c r="G81" s="16" t="n">
        <x:v>700</x:v>
      </x:c>
      <x:c r="H81" s="16" t="n">
        <x:v>147</x:v>
      </x:c>
      <x:c r="I81" s="10" t="str">
        <x:v>現金</x:v>
      </x:c>
      <x:c r="J81" s="10"/>
      <x:c r="K81" s="12" t="str"/>
    </x:row>
    <x:row r="82">
      <x:c r="A82" s="12" t="str">
        <x:v>2026-07-09</x:v>
      </x:c>
      <x:c r="B82" s="12" t="str">
        <x:v>2026-07-09</x:v>
      </x:c>
      <x:c r="C82" s="10" t="str">
        <x:v>平等院</x:v>
      </x:c>
      <x:c r="D82" s="10" t="str">
        <x:v>門票</x:v>
      </x:c>
      <x:c r="E82" s="10" t="str">
        <x:v>學生門票</x:v>
      </x:c>
      <x:c r="F82" s="14" t="n">
        <x:v>1</x:v>
      </x:c>
      <x:c r="G82" s="16" t="n">
        <x:v>400</x:v>
      </x:c>
      <x:c r="H82" s="16" t="n">
        <x:v>84</x:v>
      </x:c>
      <x:c r="I82" s="10" t="str">
        <x:v>現金</x:v>
      </x:c>
      <x:c r="J82" s="10"/>
      <x:c r="K82" s="12" t="str"/>
    </x:row>
    <x:row r="83">
      <x:c r="A83" s="12" t="str">
        <x:v>2026-07-09</x:v>
      </x:c>
      <x:c r="B83" s="12" t="str">
        <x:v>2026-07-09</x:v>
      </x:c>
      <x:c r="C83" s="10" t="str">
        <x:v>蛸Q 宇治</x:v>
      </x:c>
      <x:c r="D83" s="10" t="str">
        <x:v>點心</x:v>
      </x:c>
      <x:c r="E83" s="10" t="str">
        <x:v>宇治抹茶霜淇淋</x:v>
      </x:c>
      <x:c r="F83" s="14" t="n">
        <x:v>2</x:v>
      </x:c>
      <x:c r="G83" s="16" t="n">
        <x:v>1000</x:v>
      </x:c>
      <x:c r="H83" s="16" t="n">
        <x:v>210</x:v>
      </x:c>
      <x:c r="I83" s="10" t="str">
        <x:v>現金</x:v>
      </x:c>
      <x:c r="J83" s="10"/>
      <x:c r="K83" s="12" t="str"/>
    </x:row>
    <x:row r="84">
      <x:c r="A84" s="12" t="str">
        <x:v>2026-07-09</x:v>
      </x:c>
      <x:c r="B84" s="12" t="str">
        <x:v>2026-07-09</x:v>
      </x:c>
      <x:c r="C84" s="10" t="str">
        <x:v>伊藤久右衛門</x:v>
      </x:c>
      <x:c r="D84" s="10" t="str">
        <x:v>伴手禮/點心</x:v>
      </x:c>
      <x:c r="E84" s="10" t="str">
        <x:v>抹茶麻糬</x:v>
      </x:c>
      <x:c r="F84" s="14" t="n">
        <x:v>1</x:v>
      </x:c>
      <x:c r="G84" s="16" t="n">
        <x:v>540</x:v>
      </x:c>
      <x:c r="H84" s="16" t="n">
        <x:v>113</x:v>
      </x:c>
      <x:c r="I84" s="10" t="str">
        <x:v>現金</x:v>
      </x:c>
      <x:c r="J84" s="10"/>
      <x:c r="K84" s="12" t="str"/>
    </x:row>
    <x:row r="85">
      <x:c r="A85" s="12" t="str">
        <x:v>2026-07-09</x:v>
      </x:c>
      <x:c r="B85" s="12" t="str">
        <x:v>2026-07-09</x:v>
      </x:c>
      <x:c r="C85" s="10" t="str">
        <x:v>伊藤久右衛門</x:v>
      </x:c>
      <x:c r="D85" s="10" t="str">
        <x:v>伴手禮/點心</x:v>
      </x:c>
      <x:c r="E85" s="10" t="str">
        <x:v>抹茶蕨餅</x:v>
      </x:c>
      <x:c r="F85" s="14" t="n">
        <x:v>2</x:v>
      </x:c>
      <x:c r="G85" s="16" t="n">
        <x:v>399</x:v>
      </x:c>
      <x:c r="H85" s="16" t="n">
        <x:v>84</x:v>
      </x:c>
      <x:c r="I85" s="10" t="str">
        <x:v>現金</x:v>
      </x:c>
      <x:c r="J85" s="10"/>
      <x:c r="K85" s="12" t="str"/>
    </x:row>
    <x:row r="86">
      <x:c r="A86" s="12" t="str">
        <x:v>2026-07-09</x:v>
      </x:c>
      <x:c r="B86" s="12" t="str">
        <x:v>2026-07-09</x:v>
      </x:c>
      <x:c r="C86" s="10" t="str">
        <x:v>JR 森之宮站</x:v>
      </x:c>
      <x:c r="D86" s="10" t="str">
        <x:v>交通儲值</x:v>
      </x:c>
      <x:c r="E86" s="10" t="str">
        <x:v>Suica 儲值</x:v>
      </x:c>
      <x:c r="F86" s="14" t="n">
        <x:v>1</x:v>
      </x:c>
      <x:c r="G86" s="16" t="n">
        <x:v>2000</x:v>
      </x:c>
      <x:c r="H86" s="16" t="n">
        <x:v>420</x:v>
      </x:c>
      <x:c r="I86" s="10" t="str">
        <x:v>現金</x:v>
      </x:c>
      <x:c r="J86" s="10" t="str">
        <x:v>儲值，不列入實際消費</x:v>
      </x:c>
      <x:c r="K86" s="12" t="str"/>
    </x:row>
    <x:row r="87">
      <x:c r="A87" s="12" t="str">
        <x:v>2026-07-05</x:v>
      </x:c>
      <x:c r="B87" s="12" t="str">
        <x:v>2026-07-05</x:v>
      </x:c>
      <x:c r="C87" s="10" t="str">
        <x:v>KOHYO 森之宮店 15:32</x:v>
      </x:c>
      <x:c r="D87" s="10" t="str">
        <x:v>待確認／超市</x:v>
      </x:c>
      <x:c r="E87" s="10" t="str">
        <x:v>待確認逐項明細（收據總額）</x:v>
      </x:c>
      <x:c r="F87" s="14" t="n">
        <x:v>1</x:v>
      </x:c>
      <x:c r="G87" s="16" t="n">
        <x:v>1797</x:v>
      </x:c>
      <x:c r="H87" s="16" t="n">
        <x:v>377</x:v>
      </x:c>
      <x:c r="I87" s="10" t="str">
        <x:v>待確認</x:v>
      </x:c>
      <x:c r="J87" s="10" t="str">
        <x:v>暫以收據總額列入；重新核對原收據後，請用逐項明細取代本列</x:v>
      </x:c>
      <x:c r="K87" s="12" t="str"/>
    </x:row>
    <x:row r="88">
      <x:c r="A88" s="12" t="str">
        <x:v>2026-07-05</x:v>
      </x:c>
      <x:c r="B88" s="12" t="str">
        <x:v>2026-07-05</x:v>
      </x:c>
      <x:c r="C88" s="10" t="str">
        <x:v>KOHYO 森之宮店 22:30</x:v>
      </x:c>
      <x:c r="D88" s="10" t="str">
        <x:v>待確認／超市</x:v>
      </x:c>
      <x:c r="E88" s="10" t="str">
        <x:v>待確認逐項明細（收據總額）</x:v>
      </x:c>
      <x:c r="F88" s="14" t="n">
        <x:v>1</x:v>
      </x:c>
      <x:c r="G88" s="16" t="n">
        <x:v>3154</x:v>
      </x:c>
      <x:c r="H88" s="16" t="n">
        <x:v>662</x:v>
      </x:c>
      <x:c r="I88" s="10" t="str">
        <x:v>待確認</x:v>
      </x:c>
      <x:c r="J88" s="10" t="str">
        <x:v>暫以收據總額列入；重新核對原收據後，請用逐項明細取代本列</x:v>
      </x:c>
      <x:c r="K88" s="12" t="str"/>
    </x:row>
    <x:row r="89">
      <x:c r="A89" s="12" t="str">
        <x:v>2026-07-05</x:v>
      </x:c>
      <x:c r="B89" s="12" t="str">
        <x:v>2026-07-05</x:v>
      </x:c>
      <x:c r="C89" s="10" t="str">
        <x:v>唐吉訶德 道頓堀</x:v>
      </x:c>
      <x:c r="D89" s="10" t="str">
        <x:v>待確認／購物</x:v>
      </x:c>
      <x:c r="E89" s="10" t="str">
        <x:v>待確認逐項明細（收據總額）</x:v>
      </x:c>
      <x:c r="F89" s="14" t="n">
        <x:v>1</x:v>
      </x:c>
      <x:c r="G89" s="16" t="n">
        <x:v>16340</x:v>
      </x:c>
      <x:c r="H89" s="16" t="n">
        <x:v>3431</x:v>
      </x:c>
      <x:c r="I89" s="10" t="str">
        <x:v>待確認</x:v>
      </x:c>
      <x:c r="J89" s="10" t="str">
        <x:v>已有部分品名但單價未完全確認；暫以收據總額列入</x:v>
      </x:c>
      <x:c r="K89" s="12" t="str"/>
    </x:row>
    <x:row r="90">
      <x:c r="A90" s="12" t="str">
        <x:v>2026-07-06</x:v>
      </x:c>
      <x:c r="B90" s="12" t="str">
        <x:v>2026-07-06</x:v>
      </x:c>
      <x:c r="C90" s="10" t="str">
        <x:v>KOHYO 森之宮店</x:v>
      </x:c>
      <x:c r="D90" s="10" t="str">
        <x:v>待確認／超市</x:v>
      </x:c>
      <x:c r="E90" s="10" t="str">
        <x:v>待確認逐項明細（收據總額）</x:v>
      </x:c>
      <x:c r="F90" s="14" t="n">
        <x:v>1</x:v>
      </x:c>
      <x:c r="G90" s="16" t="n">
        <x:v>5227</x:v>
      </x:c>
      <x:c r="H90" s="16" t="n">
        <x:v>1098</x:v>
      </x:c>
      <x:c r="I90" s="10" t="str">
        <x:v>待確認</x:v>
      </x:c>
      <x:c r="J90" s="10" t="str">
        <x:v>25 項商品需重新核對；暫以收據總額列入</x:v>
      </x:c>
      <x:c r="K90" s="12" t="str"/>
    </x:row>
    <x:row r="91">
      <x:c r="A91" s="12" t="str">
        <x:v>2026-07-07</x:v>
      </x:c>
      <x:c r="B91" s="12" t="str">
        <x:v>2026-07-07</x:v>
      </x:c>
      <x:c r="C91" s="10" t="str">
        <x:v>唐吉訶德／免稅店</x:v>
      </x:c>
      <x:c r="D91" s="10" t="str">
        <x:v>待確認／購物</x:v>
      </x:c>
      <x:c r="E91" s="10" t="str">
        <x:v>待確認逐項明細（收據總額）</x:v>
      </x:c>
      <x:c r="F91" s="14" t="n">
        <x:v>1</x:v>
      </x:c>
      <x:c r="G91" s="16" t="n">
        <x:v>19168</x:v>
      </x:c>
      <x:c r="H91" s="16" t="n">
        <x:v>4025</x:v>
      </x:c>
      <x:c r="I91" s="10" t="str">
        <x:v>待確認</x:v>
      </x:c>
      <x:c r="J91" s="10" t="str">
        <x:v>需重新核對逐項品名與價格；暫以收據總額列入</x:v>
      </x:c>
      <x:c r="K91" s="12" t="str"/>
    </x:row>
    <x:row r="92">
      <x:c r="A92" s="12" t="str">
        <x:v>2026-07-08</x:v>
      </x:c>
      <x:c r="B92" s="12" t="str">
        <x:v>2026-07-08</x:v>
      </x:c>
      <x:c r="C92" s="10" t="str">
        <x:v>KOHYO 森之宮店</x:v>
      </x:c>
      <x:c r="D92" s="10" t="str">
        <x:v>待確認／超市</x:v>
      </x:c>
      <x:c r="E92" s="10" t="str">
        <x:v>待確認逐項明細（收據總額）</x:v>
      </x:c>
      <x:c r="F92" s="14" t="n">
        <x:v>1</x:v>
      </x:c>
      <x:c r="G92" s="16" t="n">
        <x:v>3765</x:v>
      </x:c>
      <x:c r="H92" s="16" t="n">
        <x:v>791</x:v>
      </x:c>
      <x:c r="I92" s="10" t="str">
        <x:v>待確認</x:v>
      </x:c>
      <x:c r="J92" s="10" t="str">
        <x:v>15 項商品需重新核對；暫以收據總額列入</x:v>
      </x:c>
      <x:c r="K92" s="12" t="str"/>
    </x:row>
    <x:row r="93">
      <x:c r="A93" s="12" t="str">
        <x:v>2026-07-10</x:v>
      </x:c>
      <x:c r="B93" s="12" t="str">
        <x:v>2026-07-10</x:v>
      </x:c>
      <x:c r="C93" s="10" t="str">
        <x:v>Yodobashi Camera 梅田店</x:v>
      </x:c>
      <x:c r="D93" s="10" t="str">
        <x:v>3C 配件</x:v>
      </x:c>
      <x:c r="E93" s="10" t="str">
        <x:v>ELECOM ACDC-TP9565BK 筆電充電器</x:v>
      </x:c>
      <x:c r="F93" s="14" t="n">
        <x:v>1</x:v>
      </x:c>
      <x:c r="G93" s="16" t="n">
        <x:v>4610</x:v>
      </x:c>
      <x:c r="H93" s="16" t="n">
        <x:v>968</x:v>
      </x:c>
      <x:c r="I93" s="10" t="str">
        <x:v>信用卡（VISA）</x:v>
      </x:c>
      <x:c r="J93" s="10" t="str">
        <x:v>收據品名：エレコム ACDC-TP9565BK；已含消費稅 ¥419</x:v>
      </x:c>
      <x:c r="K93" s="12" t="str">
        <x:v>2026-07-10 13:31:00</x:v>
      </x:c>
    </x:row>
    <x:row r="94">
      <x:c r="A94" s="12" t="str">
        <x:v>2026-07-11</x:v>
      </x:c>
      <x:c r="B94" s="12" t="str">
        <x:v>2026-07-11</x:v>
      </x:c>
      <x:c r="C94" s="10" t="str">
        <x:v>山梨縣水果店</x:v>
      </x:c>
      <x:c r="D94" s="10" t="str">
        <x:v>水果／伴手禮</x:v>
      </x:c>
      <x:c r="E94" s="10" t="str">
        <x:v>山梨縣水蜜桃</x:v>
      </x:c>
      <x:c r="F94" s="14" t="n">
        <x:v>1</x:v>
      </x:c>
      <x:c r="G94" s="16" t="n">
        <x:v>4000</x:v>
      </x:c>
      <x:c r="H94" s="16" t="n">
        <x:v>840</x:v>
      </x:c>
      <x:c r="I94" s="10" t="str">
        <x:v>現金</x:v>
      </x:c>
      <x:c r="J94" s="10" t="str">
        <x:v>無收據；使用者補充</x:v>
      </x:c>
      <x:c r="K94" s="12" t="str">
        <x:v>2026-07-11 12:00:00</x:v>
      </x:c>
    </x:row>
    <x:row r="95">
      <x:c r="A95" s="12" t="str">
        <x:v>2026-07-11</x:v>
      </x:c>
      <x:c r="B95" s="12" t="str">
        <x:v>2026-07-11</x:v>
      </x:c>
      <x:c r="C95" s="10" t="str">
        <x:v>とんかつ おりべ 淺草店</x:v>
      </x:c>
      <x:c r="D95" s="10" t="str">
        <x:v>餐飲</x:v>
      </x:c>
      <x:c r="E95" s="10" t="str">
        <x:v>大里肌豬排定食（大ロースかつ定食）</x:v>
      </x:c>
      <x:c r="F95" s="14" t="n">
        <x:v>4</x:v>
      </x:c>
      <x:c r="G95" s="16" t="n">
        <x:v>5560</x:v>
      </x:c>
      <x:c r="H95" s="16" t="n">
        <x:v>1168</x:v>
      </x:c>
      <x:c r="I95" s="10" t="str">
        <x:v>JCB／NFC</x:v>
      </x:c>
      <x:c r="J95" s="10" t="str">
        <x:v>4份合計；已含消費稅 ¥505</x:v>
      </x:c>
      <x:c r="K95" s="12" t="str">
        <x:v>2026-07-11 21:03:00</x:v>
      </x:c>
    </x:row>
    <x:row r="96">
      <x:c r="A96" s="12" t="str">
        <x:v>2026-07-12</x:v>
      </x:c>
      <x:c r="B96" s="12" t="str">
        <x:v>2026-07-12</x:v>
      </x:c>
      <x:c r="C96" s="10" t="str">
        <x:v>Toys"R"Us DiverCity Tokyo Plaza</x:v>
      </x:c>
      <x:c r="D96" s="10" t="str">
        <x:v>玩具</x:v>
      </x:c>
      <x:c r="E96" s="10" t="str">
        <x:v>びっくらたまご（驚喜蛋，商品名後半待確認）</x:v>
      </x:c>
      <x:c r="F96" s="14" t="n">
        <x:v>1</x:v>
      </x:c>
      <x:c r="G96" s="16" t="n">
        <x:v>549</x:v>
      </x:c>
      <x:c r="H96" s="16" t="n">
        <x:v>115</x:v>
      </x:c>
      <x:c r="I96" s="10" t="str">
        <x:v>現金</x:v>
      </x:c>
      <x:c r="J96" s="10" t="str">
        <x:v>現金 ¥600，找零 ¥51</x:v>
      </x:c>
      <x:c r="K96" s="12" t="str">
        <x:v>2026-07-12 17:54:00</x:v>
      </x:c>
    </x:row>
    <x:row r="97">
      <x:c r="A97" s="12" t="str">
        <x:v>2026-07-12</x:v>
      </x:c>
      <x:c r="B97" s="12" t="str">
        <x:v>2026-07-12</x:v>
      </x:c>
      <x:c r="C97" s="10" t="str">
        <x:v>UNIQLO DiverCity Tokyo Plaza</x:v>
      </x:c>
      <x:c r="D97" s="10" t="str">
        <x:v>服飾</x:v>
      </x:c>
      <x:c r="E97" s="10" t="str">
        <x:v>Dry-EX UV 防曬全拉鍊外套（粉色）</x:v>
      </x:c>
      <x:c r="F97" s="14" t="n">
        <x:v>1</x:v>
      </x:c>
      <x:c r="G97" s="16" t="n">
        <x:v>1173</x:v>
      </x:c>
      <x:c r="H97" s="16" t="n">
        <x:v>246</x:v>
      </x:c>
      <x:c r="I97" s="10" t="str">
        <x:v>信用卡（VISA/Mastercard）</x:v>
      </x:c>
      <x:c r="J97" s="10" t="str">
        <x:v>原標示 ¥1,290；免稅後分攤</x:v>
      </x:c>
      <x:c r="K97" s="12" t="str">
        <x:v>2026-07-12 20:04:14</x:v>
      </x:c>
    </x:row>
    <x:row r="98">
      <x:c r="A98" s="12" t="str">
        <x:v>2026-07-12</x:v>
      </x:c>
      <x:c r="B98" s="12" t="str">
        <x:v>2026-07-12</x:v>
      </x:c>
      <x:c r="C98" s="10" t="str">
        <x:v>UNIQLO DiverCity Tokyo Plaza</x:v>
      </x:c>
      <x:c r="D98" s="10" t="str">
        <x:v>服飾</x:v>
      </x:c>
      <x:c r="E98" s="10" t="str">
        <x:v>居家褲／Room Wear Pants</x:v>
      </x:c>
      <x:c r="F98" s="14" t="n">
        <x:v>1</x:v>
      </x:c>
      <x:c r="G98" s="16" t="n">
        <x:v>2718</x:v>
      </x:c>
      <x:c r="H98" s="16" t="n">
        <x:v>571</x:v>
      </x:c>
      <x:c r="I98" s="10" t="str">
        <x:v>信用卡（VISA/Mastercard）</x:v>
      </x:c>
      <x:c r="J98" s="10" t="str">
        <x:v>原標示 ¥2,990；免稅後分攤</x:v>
      </x:c>
      <x:c r="K98" s="12" t="str">
        <x:v>2026-07-12 20:04:14</x:v>
      </x:c>
    </x:row>
    <x:row r="99">
      <x:c r="A99" s="12" t="str">
        <x:v>2026-07-12</x:v>
      </x:c>
      <x:c r="B99" s="12" t="str">
        <x:v>2026-07-12</x:v>
      </x:c>
      <x:c r="C99" s="10" t="str">
        <x:v>UNIQLO DiverCity Tokyo Plaza</x:v>
      </x:c>
      <x:c r="D99" s="10" t="str">
        <x:v>服飾</x:v>
      </x:c>
      <x:c r="E99" s="10" t="str">
        <x:v>UT T恤</x:v>
      </x:c>
      <x:c r="F99" s="14" t="n">
        <x:v>1</x:v>
      </x:c>
      <x:c r="G99" s="16" t="n">
        <x:v>1809</x:v>
      </x:c>
      <x:c r="H99" s="16" t="n">
        <x:v>380</x:v>
      </x:c>
      <x:c r="I99" s="10" t="str">
        <x:v>信用卡（VISA/Mastercard）</x:v>
      </x:c>
      <x:c r="J99" s="10" t="str">
        <x:v>原標示 ¥1,990；免稅後分攤</x:v>
      </x:c>
      <x:c r="K99" s="12" t="str">
        <x:v>2026-07-12 20:04:14</x:v>
      </x:c>
    </x:row>
    <x:row r="100">
      <x:c r="A100" s="12" t="str">
        <x:v>2026-07-12</x:v>
      </x:c>
      <x:c r="B100" s="12" t="str">
        <x:v>2026-07-12</x:v>
      </x:c>
      <x:c r="C100" s="10" t="str">
        <x:v>UNIQLO DiverCity Tokyo Plaza</x:v>
      </x:c>
      <x:c r="D100" s="10" t="str">
        <x:v>服飾</x:v>
      </x:c>
      <x:c r="E100" s="10" t="str">
        <x:v>居家褲／Room Wear Pants</x:v>
      </x:c>
      <x:c r="F100" s="14" t="n">
        <x:v>1</x:v>
      </x:c>
      <x:c r="G100" s="16" t="n">
        <x:v>2719</x:v>
      </x:c>
      <x:c r="H100" s="16" t="n">
        <x:v>571</x:v>
      </x:c>
      <x:c r="I100" s="10" t="str">
        <x:v>信用卡（VISA/Mastercard）</x:v>
      </x:c>
      <x:c r="J100" s="10" t="str">
        <x:v>原標示 ¥2,990；免稅後分攤；四項合計 ¥8,419</x:v>
      </x:c>
      <x:c r="K100" s="12" t="str">
        <x:v>2026-07-12 20:04:14</x:v>
      </x:c>
    </x:row>
    <x:row r="101">
      <x:c r="A101" s="12" t="str">
        <x:v>2026-07-12</x:v>
      </x:c>
      <x:c r="B101" s="12" t="str">
        <x:v>2026-07-12</x:v>
      </x:c>
      <x:c r="C101" s="10" t="str">
        <x:v>壽司郎 三鄉彥成店</x:v>
      </x:c>
      <x:c r="D101" s="10" t="str">
        <x:v>餐飲</x:v>
      </x:c>
      <x:c r="E101" s="10" t="str">
        <x:v>120日圓盤</x:v>
      </x:c>
      <x:c r="F101" s="14" t="n">
        <x:v>8</x:v>
      </x:c>
      <x:c r="G101" s="16" t="n">
        <x:v>960</x:v>
      </x:c>
      <x:c r="H101" s="16" t="n">
        <x:v>202</x:v>
      </x:c>
      <x:c r="I101" s="10" t="str">
        <x:v>現金</x:v>
      </x:c>
      <x:c r="J101" s="10"/>
      <x:c r="K101" s="12" t="str">
        <x:v>2026-07-12 13:31:00</x:v>
      </x:c>
    </x:row>
    <x:row r="102">
      <x:c r="A102" s="12" t="str">
        <x:v>2026-07-12</x:v>
      </x:c>
      <x:c r="B102" s="12" t="str">
        <x:v>2026-07-12</x:v>
      </x:c>
      <x:c r="C102" s="10" t="str">
        <x:v>壽司郎 三鄉彥成店</x:v>
      </x:c>
      <x:c r="D102" s="10" t="str">
        <x:v>餐飲</x:v>
      </x:c>
      <x:c r="E102" s="10" t="str">
        <x:v>180日圓盤</x:v>
      </x:c>
      <x:c r="F102" s="14" t="n">
        <x:v>2</x:v>
      </x:c>
      <x:c r="G102" s="16" t="n">
        <x:v>360</x:v>
      </x:c>
      <x:c r="H102" s="16" t="n">
        <x:v>76</x:v>
      </x:c>
      <x:c r="I102" s="10" t="str">
        <x:v>現金</x:v>
      </x:c>
      <x:c r="J102" s="10"/>
      <x:c r="K102" s="12" t="str">
        <x:v>2026-07-12 13:31:00</x:v>
      </x:c>
    </x:row>
    <x:row r="103">
      <x:c r="A103" s="12" t="str">
        <x:v>2026-07-12</x:v>
      </x:c>
      <x:c r="B103" s="12" t="str">
        <x:v>2026-07-12</x:v>
      </x:c>
      <x:c r="C103" s="10" t="str">
        <x:v>壽司郎 三鄉彥成店</x:v>
      </x:c>
      <x:c r="D103" s="10" t="str">
        <x:v>餐飲</x:v>
      </x:c>
      <x:c r="E103" s="10" t="str">
        <x:v>260日圓盤</x:v>
      </x:c>
      <x:c r="F103" s="14" t="n">
        <x:v>1</x:v>
      </x:c>
      <x:c r="G103" s="16" t="n">
        <x:v>260</x:v>
      </x:c>
      <x:c r="H103" s="16" t="n">
        <x:v>55</x:v>
      </x:c>
      <x:c r="I103" s="10" t="str">
        <x:v>現金</x:v>
      </x:c>
      <x:c r="J103" s="10"/>
      <x:c r="K103" s="12" t="str">
        <x:v>2026-07-12 13:31:00</x:v>
      </x:c>
    </x:row>
    <x:row r="104">
      <x:c r="A104" s="12" t="str">
        <x:v>2026-07-12</x:v>
      </x:c>
      <x:c r="B104" s="12" t="str">
        <x:v>2026-07-12</x:v>
      </x:c>
      <x:c r="C104" s="10" t="str">
        <x:v>壽司郎 三鄉彥成店</x:v>
      </x:c>
      <x:c r="D104" s="10" t="str">
        <x:v>餐飲</x:v>
      </x:c>
      <x:c r="E104" s="10" t="str">
        <x:v>110日圓盤</x:v>
      </x:c>
      <x:c r="F104" s="14" t="n">
        <x:v>1</x:v>
      </x:c>
      <x:c r="G104" s="16" t="n">
        <x:v>110</x:v>
      </x:c>
      <x:c r="H104" s="16" t="n">
        <x:v>23</x:v>
      </x:c>
      <x:c r="I104" s="10" t="str">
        <x:v>現金</x:v>
      </x:c>
      <x:c r="J104" s="10"/>
      <x:c r="K104" s="12" t="str">
        <x:v>2026-07-12 13:31:00</x:v>
      </x:c>
    </x:row>
    <x:row r="105">
      <x:c r="A105" s="12" t="str">
        <x:v>2026-07-12</x:v>
      </x:c>
      <x:c r="B105" s="12" t="str">
        <x:v>2026-07-12</x:v>
      </x:c>
      <x:c r="C105" s="10" t="str">
        <x:v>壽司郎 三鄉彥成店</x:v>
      </x:c>
      <x:c r="D105" s="10" t="str">
        <x:v>餐飲</x:v>
      </x:c>
      <x:c r="E105" s="10" t="str">
        <x:v>140日圓盤</x:v>
      </x:c>
      <x:c r="F105" s="14" t="n">
        <x:v>9</x:v>
      </x:c>
      <x:c r="G105" s="16" t="n">
        <x:v>1260</x:v>
      </x:c>
      <x:c r="H105" s="16" t="n">
        <x:v>265</x:v>
      </x:c>
      <x:c r="I105" s="10" t="str">
        <x:v>現金</x:v>
      </x:c>
      <x:c r="J105" s="10"/>
      <x:c r="K105" s="12" t="str">
        <x:v>2026-07-12 13:31:00</x:v>
      </x:c>
    </x:row>
    <x:row r="106">
      <x:c r="A106" s="12" t="str">
        <x:v>2026-07-12</x:v>
      </x:c>
      <x:c r="B106" s="12" t="str">
        <x:v>2026-07-12</x:v>
      </x:c>
      <x:c r="C106" s="10" t="str">
        <x:v>壽司郎 三鄉彥成店</x:v>
      </x:c>
      <x:c r="D106" s="10" t="str">
        <x:v>餐飲</x:v>
      </x:c>
      <x:c r="E106" s="10" t="str">
        <x:v>200日圓盤</x:v>
      </x:c>
      <x:c r="F106" s="14" t="n">
        <x:v>1</x:v>
      </x:c>
      <x:c r="G106" s="16" t="n">
        <x:v>200</x:v>
      </x:c>
      <x:c r="H106" s="16" t="n">
        <x:v>42</x:v>
      </x:c>
      <x:c r="I106" s="10" t="str">
        <x:v>現金</x:v>
      </x:c>
      <x:c r="J106" s="10"/>
      <x:c r="K106" s="12" t="str">
        <x:v>2026-07-12 13:31:00</x:v>
      </x:c>
    </x:row>
    <x:row r="107">
      <x:c r="A107" s="12" t="str">
        <x:v>2026-07-12</x:v>
      </x:c>
      <x:c r="B107" s="12" t="str">
        <x:v>2026-07-12</x:v>
      </x:c>
      <x:c r="C107" s="10" t="str">
        <x:v>壽司郎 三鄉彥成店</x:v>
      </x:c>
      <x:c r="D107" s="10" t="str">
        <x:v>餐飲</x:v>
      </x:c>
      <x:c r="E107" s="10" t="str">
        <x:v>220日圓盤</x:v>
      </x:c>
      <x:c r="F107" s="14" t="n">
        <x:v>1</x:v>
      </x:c>
      <x:c r="G107" s="16" t="n">
        <x:v>220</x:v>
      </x:c>
      <x:c r="H107" s="16" t="n">
        <x:v>46</x:v>
      </x:c>
      <x:c r="I107" s="10" t="str">
        <x:v>現金</x:v>
      </x:c>
      <x:c r="J107" s="10"/>
      <x:c r="K107" s="12" t="str">
        <x:v>2026-07-12 13:31:00</x:v>
      </x:c>
    </x:row>
    <x:row r="108">
      <x:c r="A108" s="12" t="str">
        <x:v>2026-07-12</x:v>
      </x:c>
      <x:c r="B108" s="12" t="str">
        <x:v>2026-07-12</x:v>
      </x:c>
      <x:c r="C108" s="10" t="str">
        <x:v>壽司郎 三鄉彥成店</x:v>
      </x:c>
      <x:c r="D108" s="10" t="str">
        <x:v>餐飲</x:v>
      </x:c>
      <x:c r="E108" s="10" t="str">
        <x:v>240日圓盤</x:v>
      </x:c>
      <x:c r="F108" s="14" t="n">
        <x:v>1</x:v>
      </x:c>
      <x:c r="G108" s="16" t="n">
        <x:v>240</x:v>
      </x:c>
      <x:c r="H108" s="16" t="n">
        <x:v>50</x:v>
      </x:c>
      <x:c r="I108" s="10" t="str">
        <x:v>現金</x:v>
      </x:c>
      <x:c r="J108" s="10"/>
      <x:c r="K108" s="12" t="str">
        <x:v>2026-07-12 13:31:00</x:v>
      </x:c>
    </x:row>
    <x:row r="109">
      <x:c r="A109" s="12" t="str">
        <x:v>2026-07-12</x:v>
      </x:c>
      <x:c r="B109" s="12" t="str">
        <x:v>2026-07-12</x:v>
      </x:c>
      <x:c r="C109" s="10" t="str">
        <x:v>壽司郎 三鄉彥成店</x:v>
      </x:c>
      <x:c r="D109" s="10" t="str">
        <x:v>餐飲</x:v>
      </x:c>
      <x:c r="E109" s="10" t="str">
        <x:v>280日圓盤</x:v>
      </x:c>
      <x:c r="F109" s="14" t="n">
        <x:v>2</x:v>
      </x:c>
      <x:c r="G109" s="16" t="n">
        <x:v>560</x:v>
      </x:c>
      <x:c r="H109" s="16" t="n">
        <x:v>118</x:v>
      </x:c>
      <x:c r="I109" s="10" t="str">
        <x:v>現金</x:v>
      </x:c>
      <x:c r="J109" s="10"/>
      <x:c r="K109" s="12" t="str">
        <x:v>2026-07-12 13:31:00</x:v>
      </x:c>
    </x:row>
    <x:row r="110">
      <x:c r="A110" s="12" t="str">
        <x:v>2026-07-12</x:v>
      </x:c>
      <x:c r="B110" s="12" t="str">
        <x:v>2026-07-12</x:v>
      </x:c>
      <x:c r="C110" s="10" t="str">
        <x:v>壽司郎 三鄉彥成店</x:v>
      </x:c>
      <x:c r="D110" s="10" t="str">
        <x:v>餐飲</x:v>
      </x:c>
      <x:c r="E110" s="10" t="str">
        <x:v>360日圓盤</x:v>
      </x:c>
      <x:c r="F110" s="14" t="n">
        <x:v>3</x:v>
      </x:c>
      <x:c r="G110" s="16" t="n">
        <x:v>1080</x:v>
      </x:c>
      <x:c r="H110" s="16" t="n">
        <x:v>227</x:v>
      </x:c>
      <x:c r="I110" s="10" t="str">
        <x:v>現金</x:v>
      </x:c>
      <x:c r="J110" s="10"/>
      <x:c r="K110" s="12" t="str">
        <x:v>2026-07-12 13:31:00</x:v>
      </x:c>
    </x:row>
    <x:row r="111">
      <x:c r="A111" s="12" t="str">
        <x:v>2026-07-12</x:v>
      </x:c>
      <x:c r="B111" s="12" t="str">
        <x:v>2026-07-12</x:v>
      </x:c>
      <x:c r="C111" s="10" t="str">
        <x:v>壽司郎 三鄉彥成店</x:v>
      </x:c>
      <x:c r="D111" s="10" t="str">
        <x:v>餐飲</x:v>
      </x:c>
      <x:c r="E111" s="10" t="str">
        <x:v>460日圓品項</x:v>
      </x:c>
      <x:c r="F111" s="14" t="n">
        <x:v>1</x:v>
      </x:c>
      <x:c r="G111" s="16" t="n">
        <x:v>460</x:v>
      </x:c>
      <x:c r="H111" s="16" t="n">
        <x:v>97</x:v>
      </x:c>
      <x:c r="I111" s="10" t="str">
        <x:v>現金</x:v>
      </x:c>
      <x:c r="J111" s="10"/>
      <x:c r="K111" s="12" t="str">
        <x:v>2026-07-12 13:31:00</x:v>
      </x:c>
    </x:row>
    <x:row r="112">
      <x:c r="A112" s="12" t="str">
        <x:v>2026-07-12</x:v>
      </x:c>
      <x:c r="B112" s="12" t="str">
        <x:v>2026-07-12</x:v>
      </x:c>
      <x:c r="C112" s="10" t="str">
        <x:v>壽司郎 三鄉彥成店</x:v>
      </x:c>
      <x:c r="D112" s="10" t="str">
        <x:v>餐飲</x:v>
      </x:c>
      <x:c r="E112" s="10" t="str">
        <x:v>360日圓單品</x:v>
      </x:c>
      <x:c r="F112" s="14" t="n">
        <x:v>1</x:v>
      </x:c>
      <x:c r="G112" s="16" t="n">
        <x:v>360</x:v>
      </x:c>
      <x:c r="H112" s="16" t="n">
        <x:v>76</x:v>
      </x:c>
      <x:c r="I112" s="10" t="str">
        <x:v>現金</x:v>
      </x:c>
      <x:c r="J112" s="10"/>
      <x:c r="K112" s="12" t="str">
        <x:v>2026-07-12 13:31:00</x:v>
      </x:c>
    </x:row>
    <x:row r="113">
      <x:c r="A113" s="12" t="str">
        <x:v>2026-07-12</x:v>
      </x:c>
      <x:c r="B113" s="12" t="str">
        <x:v>2026-07-12</x:v>
      </x:c>
      <x:c r="C113" s="10" t="str">
        <x:v>壽司郎 三鄉彥成店</x:v>
      </x:c>
      <x:c r="D113" s="10" t="str">
        <x:v>餐飲</x:v>
      </x:c>
      <x:c r="E113" s="10" t="str">
        <x:v>430日圓單品</x:v>
      </x:c>
      <x:c r="F113" s="14" t="n">
        <x:v>1</x:v>
      </x:c>
      <x:c r="G113" s="16" t="n">
        <x:v>430</x:v>
      </x:c>
      <x:c r="H113" s="16" t="n">
        <x:v>90</x:v>
      </x:c>
      <x:c r="I113" s="10" t="str">
        <x:v>現金</x:v>
      </x:c>
      <x:c r="J113" s="10"/>
      <x:c r="K113" s="12" t="str">
        <x:v>2026-07-12 13:31:00</x:v>
      </x:c>
    </x:row>
    <x:row r="114">
      <x:c r="A114" s="12" t="str">
        <x:v>2026-07-12</x:v>
      </x:c>
      <x:c r="B114" s="12" t="str">
        <x:v>2026-07-12</x:v>
      </x:c>
      <x:c r="C114" s="10" t="str">
        <x:v>壽司郎 三鄉彥成店</x:v>
      </x:c>
      <x:c r="D114" s="10" t="str">
        <x:v>餐飲</x:v>
      </x:c>
      <x:c r="E114" s="10" t="str">
        <x:v>茶碗蒸（240日圓）</x:v>
      </x:c>
      <x:c r="F114" s="14" t="n">
        <x:v>5</x:v>
      </x:c>
      <x:c r="G114" s="16" t="n">
        <x:v>1200</x:v>
      </x:c>
      <x:c r="H114" s="16" t="n">
        <x:v>252</x:v>
      </x:c>
      <x:c r="I114" s="10" t="str">
        <x:v>現金</x:v>
      </x:c>
      <x:c r="J114" s="10" t="str">
        <x:v>37項合計 ¥7,700；現金支付 ¥10,000，找零 ¥2,300</x:v>
      </x:c>
      <x:c r="K114" s="12" t="str">
        <x:v>2026-07-12 13:31:00</x:v>
      </x:c>
    </x:row>
  </x:sheetData>
  <x:pageMargins left="0.7" right="0.7" top="0.75" bottom="0.75" header="0.3" footer="0.3"/>
  <x:tableParts count="1">
    <x:tablePart xmlns:r="http://schemas.openxmlformats.org/officeDocument/2006/relationships" r:id="R6d9e309b5cdb4c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12" hidden="0" customWidth="1"/>
    <x:col min="5" max="5" width="62" hidden="0" customWidth="1"/>
  </x:cols>
  <x:sheetData>
    <x:row r="1">
      <x:c r="A1" s="20" t="str">
        <x:v>日期</x:v>
      </x:c>
      <x:c r="B1" s="20" t="str">
        <x:v>店家</x:v>
      </x:c>
      <x:c r="C1" s="20" t="str">
        <x:v>收據總額（日幣）</x:v>
      </x:c>
      <x:c r="D1" s="20" t="str">
        <x:v>狀態</x:v>
      </x:c>
      <x:c r="E1" s="20" t="str">
        <x:v>處理方式</x:v>
      </x:c>
    </x:row>
    <x:row r="2">
      <x:c r="A2" s="10" t="str">
        <x:v>2026-07-05</x:v>
      </x:c>
      <x:c r="B2" s="10" t="str">
        <x:v>KOHYO 森之宮店 15:32</x:v>
      </x:c>
      <x:c r="C2" s="24" t="n">
        <x:v>1797</x:v>
      </x:c>
      <x:c r="D2" s="10" t="str">
        <x:v>待確認</x:v>
      </x:c>
      <x:c r="E2" s="10" t="str">
        <x:v>暫以收據總額列入；重新核對原收據後，請用逐項明細取代本列</x:v>
      </x:c>
    </x:row>
    <x:row r="3">
      <x:c r="A3" s="10" t="str">
        <x:v>2026-07-05</x:v>
      </x:c>
      <x:c r="B3" s="10" t="str">
        <x:v>KOHYO 森之宮店 22:30</x:v>
      </x:c>
      <x:c r="C3" s="24" t="n">
        <x:v>3154</x:v>
      </x:c>
      <x:c r="D3" s="10" t="str">
        <x:v>待確認</x:v>
      </x:c>
      <x:c r="E3" s="10" t="str">
        <x:v>暫以收據總額列入；重新核對原收據後，請用逐項明細取代本列</x:v>
      </x:c>
    </x:row>
    <x:row r="4">
      <x:c r="A4" s="10" t="str">
        <x:v>2026-07-05</x:v>
      </x:c>
      <x:c r="B4" s="10" t="str">
        <x:v>唐吉訶德 道頓堀</x:v>
      </x:c>
      <x:c r="C4" s="24" t="n">
        <x:v>16340</x:v>
      </x:c>
      <x:c r="D4" s="10" t="str">
        <x:v>待確認</x:v>
      </x:c>
      <x:c r="E4" s="10" t="str">
        <x:v>已有部分品名但單價未完全確認；暫以收據總額列入</x:v>
      </x:c>
    </x:row>
    <x:row r="5">
      <x:c r="A5" s="10" t="str">
        <x:v>2026-07-06</x:v>
      </x:c>
      <x:c r="B5" s="10" t="str">
        <x:v>KOHYO 森之宮店</x:v>
      </x:c>
      <x:c r="C5" s="24" t="n">
        <x:v>5227</x:v>
      </x:c>
      <x:c r="D5" s="10" t="str">
        <x:v>待確認</x:v>
      </x:c>
      <x:c r="E5" s="10" t="str">
        <x:v>25 項商品需重新核對；暫以收據總額列入</x:v>
      </x:c>
    </x:row>
    <x:row r="6">
      <x:c r="A6" s="10" t="str">
        <x:v>2026-07-07</x:v>
      </x:c>
      <x:c r="B6" s="10" t="str">
        <x:v>唐吉訶德／免稅店</x:v>
      </x:c>
      <x:c r="C6" s="24" t="n">
        <x:v>19168</x:v>
      </x:c>
      <x:c r="D6" s="10" t="str">
        <x:v>待確認</x:v>
      </x:c>
      <x:c r="E6" s="10" t="str">
        <x:v>需重新核對逐項品名與價格；暫以收據總額列入</x:v>
      </x:c>
    </x:row>
    <x:row r="7">
      <x:c r="A7" s="10" t="str">
        <x:v>2026-07-08</x:v>
      </x:c>
      <x:c r="B7" s="10" t="str">
        <x:v>KOHYO 森之宮店</x:v>
      </x:c>
      <x:c r="C7" s="24" t="n">
        <x:v>3765</x:v>
      </x:c>
      <x:c r="D7" s="10" t="str">
        <x:v>待確認</x:v>
      </x:c>
      <x:c r="E7" s="10" t="str">
        <x:v>15 項商品需重新核對；暫以收據總額列入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28" t="str">
        <x:v>日本旅遊全部支出摘要</x:v>
      </x:c>
    </x:row>
    <x:row r="3">
      <x:c r="A3" s="33" t="str">
        <x:v>項目</x:v>
      </x:c>
      <x:c r="B3" s="33" t="str">
        <x:v>數值</x:v>
      </x:c>
    </x:row>
    <x:row r="4">
      <x:c r="A4" t="str">
        <x:v>總明細列數</x:v>
      </x:c>
      <x:c r="B4" t="n">
        <x:v>113</x:v>
      </x:c>
    </x:row>
    <x:row r="5">
      <x:c r="A5" t="str">
        <x:v>實際消費（日幣）</x:v>
      </x:c>
      <x:c r="B5" s="36" t="n">
        <x:f>SUMIF('匯入資料'!D2:D114,"&lt;&gt;交通儲值",'匯入資料'!G2:G114)</x:f>
        <x:v>210366</x:v>
      </x:c>
    </x:row>
    <x:row r="6">
      <x:c r="A6" t="str">
        <x:v>交通儲值（日幣）</x:v>
      </x:c>
      <x:c r="B6" s="36" t="n">
        <x:f>SUMIF('匯入資料'!D2:D114,"交通儲值",'匯入資料'!G2:G114)</x:f>
        <x:v>17000</x:v>
      </x:c>
    </x:row>
    <x:row r="7">
      <x:c r="A7" t="str">
        <x:v>含儲值總額（日幣）</x:v>
      </x:c>
      <x:c r="B7" s="36" t="n">
        <x:f>SUM('匯入資料'!G2:G114)</x:f>
        <x:v>227366</x:v>
      </x:c>
    </x:row>
    <x:row r="8">
      <x:c r="A8" t="str">
        <x:v>台幣約</x:v>
      </x:c>
      <x:c r="B8" s="36" t="n">
        <x:f>SUM('匯入資料'!H2:H114)</x:f>
        <x:v>47750</x:v>
      </x:c>
    </x:row>
    <x:row r="9">
      <x:c r="A9" t="str">
        <x:v>待確認收據數</x:v>
      </x:c>
      <x:c r="B9" t="n">
        <x:v>6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39" t="str">
        <x:v>請把下方 SQL 貼到 Supabase SQL Editor 執行</x:v>
      </x:c>
    </x:row>
    <x:row r="3" ht="310" customHeight="1">
      <x:c r="A3" s="10" t="str">
        <x:v>-- 安全清除 public.expenses：先備份，再清空
begin;
create table if not exists public.expenses_backup (
  backup_id bigint generated always as identity primary key,
  backed_up_at timestamptz not null default now(),
  expense jsonb not null
);
insert into public.expenses_backup (expense)
select to_jsonb(e)
from public.expenses e;
truncate table public.expenses restart identity;
commit;
-- 確認已清空
select count(*) as expenses_remaining from public.expenses;
-- 確認備份筆數
select count(*) as backup_rows from public.expenses_backup;
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>
      <x:c r="A1" s="46" t="str">
        <x:v>項目</x:v>
      </x:c>
      <x:c r="B1" s="46" t="str">
        <x:v>說明</x:v>
      </x:c>
    </x:row>
    <x:row r="2">
      <x:c r="A2" s="10" t="str">
        <x:v>Day 欄</x:v>
      </x:c>
      <x:c r="B2" s="10" t="str">
        <x:v>所有 Day 值均已改成實際日期，例如 2026-07-05。</x:v>
      </x:c>
    </x:row>
    <x:row r="3">
      <x:c r="A3" s="10" t="str">
        <x:v>匯入資料</x:v>
      </x:c>
      <x:c r="B3" s="10" t="str">
        <x:v>第一個工作表可直接在 App 的 Excel 上傳區匯入。</x:v>
      </x:c>
    </x:row>
    <x:row r="4">
      <x:c r="A4" s="10" t="str">
        <x:v>日期格式</x:v>
      </x:c>
      <x:c r="B4" s="10" t="str">
        <x:v>日期與建立時間均使用文字格式，避免 Excel 日期序號造成 Supabase 錯誤。</x:v>
      </x:c>
    </x:row>
    <x:row r="5">
      <x:c r="A5" s="10" t="str">
        <x:v>待確認資料</x:v>
      </x:c>
      <x:c r="B5" s="10" t="str">
        <x:v>6 張舊收據尚缺逐項價格，已先以收據總額暫存，避免整筆遺漏。</x:v>
      </x:c>
    </x:row>
    <x:row r="6">
      <x:c r="A6" s="10" t="str">
        <x:v>替換方式</x:v>
      </x:c>
      <x:c r="B6" s="10" t="str">
        <x:v>將待確認收據重新辨識成逐項後，先刪除對應的『待確認逐項明細（收據總額）』列，再匯入逐項資料。</x:v>
      </x:c>
    </x:row>
    <x:row r="7">
      <x:c r="A7" s="10" t="str">
        <x:v>匯率</x:v>
      </x:c>
      <x:c r="B7" s="10" t="str">
        <x:v>台幣欄以 1 日圓約 0.21 台幣估算。</x:v>
      </x:c>
    </x:row>
  </x:sheetData>
  <x:pageMargins left="0.7" right="0.7" top="0.75" bottom="0.75" header="0.3" footer="0.3"/>
</x:worksheet>
</file>